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1. Research\0. CONFERENCE PAPER\2026.09_ICAE2026\3. DATA_CODE\jEPlus-LHS\"/>
    </mc:Choice>
  </mc:AlternateContent>
  <xr:revisionPtr revIDLastSave="0" documentId="13_ncr:1_{0990A15B-6C9D-4C15-84CF-694F268451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3.5_Register" sheetId="1" r:id="rId1"/>
    <sheet name="LevelInventory" sheetId="2" r:id="rId2"/>
    <sheet name="DataSources" sheetId="3" r:id="rId3"/>
    <sheet name="FixedParams" sheetId="4" r:id="rId4"/>
    <sheet name="Notes" sheetId="5" r:id="rId5"/>
  </sheets>
  <definedNames>
    <definedName name="_xlnm._FilterDatabase" localSheetId="2" hidden="1">DataSources!$A$1:$K$15</definedName>
    <definedName name="_xlnm._FilterDatabase" localSheetId="3" hidden="1">FixedParams!$A$1:$E$11</definedName>
    <definedName name="_xlnm._FilterDatabase" localSheetId="1" hidden="1">LevelInventory!$A$1:$K$11</definedName>
    <definedName name="_xlnm._FilterDatabase" localSheetId="4" hidden="1">Notes!$A$1:$E$10</definedName>
    <definedName name="_xlnm._FilterDatabase" localSheetId="0" hidden="1">Table3.5_Register!$A$1:$J$10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ICAE</author>
  </authors>
  <commentList>
    <comment ref="H2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ECF source IDs trỏ sheet DataSources (EC1 = ITB EPD 148/2021).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ICAE</author>
  </authors>
  <commentList>
    <comment ref="F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A1–A3 incremental vs L0, chuẩn hóa /m² sàn (A_floor=4982 m²).
P2: thickness(m) × roof_area(1660.73) × 54.3 kgCO₂e/m³ ÷ 4982.
Nguồn ECF: EC1 (ITB EPD 148/2021).</t>
        </r>
      </text>
    </comment>
    <comment ref="G1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B4 = embodied × số lần thay trong 20 năm. EPS RSL 75 năm → B4=0.</t>
        </r>
      </text>
    </comment>
    <comment ref="H1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USD/m² sàn, material-only, tỷ giá giả định 26.000 VNĐ/USD (cập nhật khi viết). Installed ≈ ×2.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ICAE</author>
  </authors>
  <commentList>
    <comment ref="H2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EN 15804 EPD hiệu lực 5 năm. Phát hành 2021 → có thể đã hết hạn. PHẢI verify trước submit; nếu hết hạn → tìm bản cập nhật hoặc dùng EC-F1 fallback + ghi Limitations.</t>
        </r>
      </text>
    </comment>
  </commentList>
</comments>
</file>

<file path=xl/sharedStrings.xml><?xml version="1.0" encoding="utf-8"?>
<sst xmlns="http://schemas.openxmlformats.org/spreadsheetml/2006/main" count="1071" uniqueCount="686">
  <si>
    <t>Sym</t>
  </si>
  <si>
    <t>Group</t>
  </si>
  <si>
    <t>Design variable (unit)</t>
  </si>
  <si>
    <t>n</t>
  </si>
  <si>
    <t>Baseline (L0)</t>
  </si>
  <si>
    <t>Discrete levels</t>
  </si>
  <si>
    <t>Realization</t>
  </si>
  <si>
    <t>ECF source</t>
  </si>
  <si>
    <t>Sim¹</t>
  </si>
  <si>
    <t>Opt²</t>
  </si>
  <si>
    <t>P1</t>
  </si>
  <si>
    <t>Opaque envelope</t>
  </si>
  <si>
    <t>Wall U-value (W/m²·K)</t>
  </si>
  <si>
    <t>{1.07, 0.64, 0.46, 0.36, 0.29}</t>
  </si>
  <si>
    <t>EPS ETICS 0/25/50/75/100 mm</t>
  </si>
  <si>
    <t>EC1</t>
  </si>
  <si>
    <t>✓</t>
  </si>
  <si>
    <t>P2</t>
  </si>
  <si>
    <t>Roof U-value (W/m²·K)</t>
  </si>
  <si>
    <t>{0.22, 0.19, 0.17, 0.16, 0.14}</t>
  </si>
  <si>
    <t>EPS board 0/25/50/75/100 mm</t>
  </si>
  <si>
    <t>P3</t>
  </si>
  <si>
    <t>Cool roof</t>
  </si>
  <si>
    <t>Solar reflectance (–)</t>
  </si>
  <si>
    <t>Reflective coating (a = 1−ρ)</t>
  </si>
  <si>
    <t>P4</t>
  </si>
  <si>
    <t>Glazing envelope</t>
  </si>
  <si>
    <t>Glazing U &amp; SHGC (paired)</t>
  </si>
  <si>
    <t>P5</t>
  </si>
  <si>
    <t>Active – HVAC</t>
  </si>
  <si>
    <t>DX cooling COP (–)</t>
  </si>
  <si>
    <t>n/a</t>
  </si>
  <si>
    <t>P6</t>
  </si>
  <si>
    <t>Cooling setpoint (°C)</t>
  </si>
  <si>
    <t>P7</t>
  </si>
  <si>
    <t>Active – lighting</t>
  </si>
  <si>
    <t>LPD (W/m²)</t>
  </si>
  <si>
    <t>P8</t>
  </si>
  <si>
    <t>Renewable</t>
  </si>
  <si>
    <t>Rooftop PV (kWp)</t>
  </si>
  <si>
    <t>P9</t>
  </si>
  <si>
    <t>Storage</t>
  </si>
  <si>
    <t>BESS (kWh)</t>
  </si>
  <si>
    <t>–</t>
  </si>
  <si>
    <t>Param</t>
  </si>
  <si>
    <t>Level</t>
  </si>
  <si>
    <t>Design value</t>
  </si>
  <si>
    <t>Realization detail</t>
  </si>
  <si>
    <t>jEPlus control</t>
  </si>
  <si>
    <t>A1–A3 (kgCO₂e/m² floor)</t>
  </si>
  <si>
    <t>B4 (kgCO₂e/m² floor)</t>
  </si>
  <si>
    <t>Capital cost (USD/m² floor)</t>
  </si>
  <si>
    <t>EC source</t>
  </si>
  <si>
    <t>Cost source</t>
  </si>
  <si>
    <t>Notes</t>
  </si>
  <si>
    <t>L0</t>
  </si>
  <si>
    <t>EPS 0 mm (baseline wall)</t>
  </si>
  <si>
    <t>wall_P1_L0</t>
  </si>
  <si>
    <t>baseline</t>
  </si>
  <si>
    <t>—</t>
  </si>
  <si>
    <t>No-intervention rung</t>
  </si>
  <si>
    <t>L1</t>
  </si>
  <si>
    <t>EPS 25 mm</t>
  </si>
  <si>
    <t>wall_P1_L1</t>
  </si>
  <si>
    <t>L2</t>
  </si>
  <si>
    <t>EPS 50 mm</t>
  </si>
  <si>
    <t>wall_P1_L2</t>
  </si>
  <si>
    <t>L3</t>
  </si>
  <si>
    <t>EPS 75 mm</t>
  </si>
  <si>
    <t>wall_P1_L3</t>
  </si>
  <si>
    <t>L4</t>
  </si>
  <si>
    <t>EPS 100 mm</t>
  </si>
  <si>
    <t>wall_P1_L4</t>
  </si>
  <si>
    <t>EPS 0 mm (baseline roof)</t>
  </si>
  <si>
    <t>roof_P2_L0</t>
  </si>
  <si>
    <t>No-intervention rung; U with film</t>
  </si>
  <si>
    <t>roof_P2_L1</t>
  </si>
  <si>
    <t>0.45–0.77</t>
  </si>
  <si>
    <t>C1</t>
  </si>
  <si>
    <t>material-only</t>
  </si>
  <si>
    <t>roof_P2_L2</t>
  </si>
  <si>
    <t>0.90–1.54</t>
  </si>
  <si>
    <t>roof_P2_L3</t>
  </si>
  <si>
    <t>1.35–2.31</t>
  </si>
  <si>
    <t>roof_P2_L4</t>
  </si>
  <si>
    <t>1.80–3.08</t>
  </si>
  <si>
    <t>ID</t>
  </si>
  <si>
    <t>Type</t>
  </si>
  <si>
    <t>Description</t>
  </si>
  <si>
    <t>Value / clause</t>
  </si>
  <si>
    <t>Source / EPD no.</t>
  </si>
  <si>
    <t>Publisher</t>
  </si>
  <si>
    <t>Date</t>
  </si>
  <si>
    <t>Valid until</t>
  </si>
  <si>
    <t>Accessed</t>
  </si>
  <si>
    <t>URL</t>
  </si>
  <si>
    <t>Used by</t>
  </si>
  <si>
    <t>EPD</t>
  </si>
  <si>
    <t>EPS board (A1–A3, λ)</t>
  </si>
  <si>
    <t>54.3 kgCO₂e/m³; λ 0.040 W/m·K</t>
  </si>
  <si>
    <t>EPD No. 148/2021 (EN 15804 Type III)</t>
  </si>
  <si>
    <t>ITB (PL)</t>
  </si>
  <si>
    <t>2021</t>
  </si>
  <si>
    <t>⚠ ~2026 VERIFY</t>
  </si>
  <si>
    <t>(dán link/DOI nội bộ)</t>
  </si>
  <si>
    <t>P1, P2</t>
  </si>
  <si>
    <t>EC-F1</t>
  </si>
  <si>
    <t>EC-Fallback</t>
  </si>
  <si>
    <t>ICE Database v4.1</t>
  </si>
  <si>
    <t>cradle-to-gate A1–A3, EN 15804+A2</t>
  </si>
  <si>
    <t>ICE Database</t>
  </si>
  <si>
    <t>Circular Ecology</t>
  </si>
  <si>
    <t>2025</t>
  </si>
  <si>
    <t>29/06/2026</t>
  </si>
  <si>
    <t>circularecology.com/embodied-carbon-footprint-database.html</t>
  </si>
  <si>
    <t>fallback (all)</t>
  </si>
  <si>
    <t>EC-F2</t>
  </si>
  <si>
    <t>EPS EPD US/Canada industry avg</t>
  </si>
  <si>
    <t>A1–A3; RSL 75 yr → B4=0</t>
  </si>
  <si>
    <t>SIPS 101.1</t>
  </si>
  <si>
    <t>SIPS</t>
  </si>
  <si>
    <t>sips.org/documents/101.1_EPD_EPS-Insulation.pdf</t>
  </si>
  <si>
    <t>cross-check EPS</t>
  </si>
  <si>
    <t>EC-F3</t>
  </si>
  <si>
    <t>EPS EPD EUMEPS (30 kg/m³)</t>
  </si>
  <si>
    <t>A1–A3 EN 15804</t>
  </si>
  <si>
    <t>EUMEPS (via GLAD)</t>
  </si>
  <si>
    <t>EUMEPS</t>
  </si>
  <si>
    <t>globallcadataaccess.org/expanded-polystyrene-eps-foam-insulation-eumeps-a1-a3-pre-foaming-conditioning-block-moulding-2</t>
  </si>
  <si>
    <t>Cost</t>
  </si>
  <si>
    <t>EPS board trần 50mm</t>
  </si>
  <si>
    <t>70.000–120.000 VNĐ/m²</t>
  </si>
  <si>
    <t>Tân Phú Minh</t>
  </si>
  <si>
    <t>06/2024</t>
  </si>
  <si>
    <t>tanphuminhcorp.com/tin-tuc/bao-gia-xop-cach-nhiet-day-5cm.html</t>
  </si>
  <si>
    <t>C2</t>
  </si>
  <si>
    <t>EPS board trần (theo độ dày/tỷ trọng)</t>
  </si>
  <si>
    <t>100.000–250.000 VNĐ/m²</t>
  </si>
  <si>
    <t>Tôn Pu Cách Nhiệt Thế Long</t>
  </si>
  <si>
    <t>tonpucachnhiet.vn</t>
  </si>
  <si>
    <t>03/2026</t>
  </si>
  <si>
    <t>tonpucachnhiet.vn/tam-cach-nhiet-eps</t>
  </si>
  <si>
    <t>S1</t>
  </si>
  <si>
    <t>Standard</t>
  </si>
  <si>
    <t>QCVN 09:2017/BXD</t>
  </si>
  <si>
    <t>roof R0,min≥1.00 (U≤1.00); wall R0≥0.56; OTTVM≤25 W/m²; SHGC theo WWR (B2.1); λ (Phụ lục)</t>
  </si>
  <si>
    <t>Bộ Xây dựng</t>
  </si>
  <si>
    <t>2017</t>
  </si>
  <si>
    <t>(project file)</t>
  </si>
  <si>
    <t>g2, P1–P4</t>
  </si>
  <si>
    <t>S2</t>
  </si>
  <si>
    <t>LEED v5 BD+C</t>
  </si>
  <si>
    <t>MRp2 (định lượng A1–A3 bắt buộc); MRc2 (tín chỉ giảm GWP)</t>
  </si>
  <si>
    <t>LEED v5 BD+C Rating System</t>
  </si>
  <si>
    <t>USGBC</t>
  </si>
  <si>
    <t>§1.4, benchmarking</t>
  </si>
  <si>
    <t>S3</t>
  </si>
  <si>
    <t>HD LCA cho SP VLXD</t>
  </si>
  <si>
    <t>TCVN 14044:2006/ISO 14044; ranh giới A1–A3; LCIA = CML 1992</t>
  </si>
  <si>
    <t>Hướng dẫn LCA VLXD</t>
  </si>
  <si>
    <t>(VN)</t>
  </si>
  <si>
    <t>f3 methodology</t>
  </si>
  <si>
    <t>S4</t>
  </si>
  <si>
    <t>MONRE Công văn 1726/2024</t>
  </si>
  <si>
    <t>EF_grid = 0.6592 kgCO₂e/kWh (dữ liệu 2023)</t>
  </si>
  <si>
    <t>Công văn 1726/2024</t>
  </si>
  <si>
    <t>Bộ TN&amp;MT</t>
  </si>
  <si>
    <t>2024</t>
  </si>
  <si>
    <t>f3-B6</t>
  </si>
  <si>
    <t>B1</t>
  </si>
  <si>
    <t>Model</t>
  </si>
  <si>
    <t>IDF prototype</t>
  </si>
  <si>
    <t>U_wall, U_roof, SHGC 0.219, DX COP 3.40, LPD 6.66, occ 18.58</t>
  </si>
  <si>
    <t>ASHRAE901_OfficeMedium_STD2019_HoChiMinh.idf</t>
  </si>
  <si>
    <t>DOE/PNNL</t>
  </si>
  <si>
    <t>P1–P7, FixedParams</t>
  </si>
  <si>
    <t>B2</t>
  </si>
  <si>
    <t>E+ Envelope Summary</t>
  </si>
  <si>
    <t>U-factor with/no film (roof 0.221/0.228); refl 0.55; roof 1660.73 m²; floor 4982 m²</t>
  </si>
  <si>
    <t>..._table.htm</t>
  </si>
  <si>
    <t>EnergyPlus</t>
  </si>
  <si>
    <t>L0 envelope</t>
  </si>
  <si>
    <t>B3</t>
  </si>
  <si>
    <t>PNNL Prototype Scorecard</t>
  </si>
  <si>
    <t>đối chiếu thông số prototype</t>
  </si>
  <si>
    <t>PNNL_Prototype_Scorecards_MediumOffice_HCMC.xlsx</t>
  </si>
  <si>
    <t>PNNL</t>
  </si>
  <si>
    <t>§3.1</t>
  </si>
  <si>
    <t>B4</t>
  </si>
  <si>
    <t>CMIP6-VN climate</t>
  </si>
  <si>
    <t>ACCESS-CM2 + MRI-ESM2-0; SSP245/585; 2050s/2080s; delta-morphing</t>
  </si>
  <si>
    <t>Tran-Anh et al. 2023</t>
  </si>
  <si>
    <t>2023</t>
  </si>
  <si>
    <t>§3.2</t>
  </si>
  <si>
    <t>Parameter</t>
  </si>
  <si>
    <t>Baseline value</t>
  </si>
  <si>
    <t>Unit</t>
  </si>
  <si>
    <t>Source</t>
  </si>
  <si>
    <t>Note</t>
  </si>
  <si>
    <t>Window-to-wall ratio (WWR)</t>
  </si>
  <si>
    <t>33</t>
  </si>
  <si>
    <t>%</t>
  </si>
  <si>
    <t>Structural constraint (fixed)</t>
  </si>
  <si>
    <t>Plug &amp; process load density</t>
  </si>
  <si>
    <t>11.38</t>
  </si>
  <si>
    <t>W/m²</t>
  </si>
  <si>
    <t>Lighting power density (baseline)</t>
  </si>
  <si>
    <t>6.66</t>
  </si>
  <si>
    <t>P7 ladder phải đi DƯỚI giá trị này</t>
  </si>
  <si>
    <t>Occupant density</t>
  </si>
  <si>
    <t>18.58</t>
  </si>
  <si>
    <t>m²/person</t>
  </si>
  <si>
    <t>Đồng nhất 15 zone (verified IDF)</t>
  </si>
  <si>
    <t>HVAC system type</t>
  </si>
  <si>
    <t>VAV (DX TwoSpeed)</t>
  </si>
  <si>
    <t>Fixed → topology future work</t>
  </si>
  <si>
    <t>Building conditioned floor area</t>
  </si>
  <si>
    <t>4982</t>
  </si>
  <si>
    <t>m²</t>
  </si>
  <si>
    <t>A_floor normalization</t>
  </si>
  <si>
    <t>Roof gross area</t>
  </si>
  <si>
    <t>1660.73</t>
  </si>
  <si>
    <t>P2/P3 normalization</t>
  </si>
  <si>
    <t>Glazing baseline U</t>
  </si>
  <si>
    <t>2.86</t>
  </si>
  <si>
    <t>W/m²·K</t>
  </si>
  <si>
    <t>P4 (SimpleGlazingSystem)</t>
  </si>
  <si>
    <t>Glazing baseline SHGC</t>
  </si>
  <si>
    <t>0.219</t>
  </si>
  <si>
    <t>P4 ladder phải ≤ 0.219 (đã rất thấp)</t>
  </si>
  <si>
    <t>DX cooling COP (baseline, gross)</t>
  </si>
  <si>
    <t>3.40</t>
  </si>
  <si>
    <t>3.39928881549157; tag 6 trường</t>
  </si>
  <si>
    <t>#</t>
  </si>
  <si>
    <t>Topic</t>
  </si>
  <si>
    <t>Finding / action required</t>
  </si>
  <si>
    <t>Affects</t>
  </si>
  <si>
    <t>Status</t>
  </si>
  <si>
    <t>g2 sai threshold</t>
  </si>
  <si>
    <t>QCVN roof = U≤1.00 W/m²K (R0≥1.00), KHÔNG phải 0.45. '0.45' nhặt nhầm từ bảng SHGC. → SỬA §3.6.</t>
  </si>
  <si>
    <t>g2, §3.6</t>
  </si>
  <si>
    <t>OPEN</t>
  </si>
  <si>
    <t>g2 mái non-binding</t>
  </si>
  <si>
    <t>Baseline roof R0=4.52 &gt;&gt; 1.00 → mọi level pass. Cân nhắc chuyển sang OTTVM≤25 W/m² (có solar, gắn cool-roof P3).</t>
  </si>
  <si>
    <t>g2, §3.6, §3.7</t>
  </si>
  <si>
    <t>P1/P2 inactive (paradox)</t>
  </si>
  <si>
    <t>Baseline vỏ đã ~R-25 → thêm cách nhiệt: operational saving nhỏ, embodied tăng → optimizer ưu tiên L0. Material cho NZEB Paradox.</t>
  </si>
  <si>
    <t>§4 discussion</t>
  </si>
  <si>
    <t>NOTE</t>
  </si>
  <si>
    <t>P5 = DX COP</t>
  </si>
  <si>
    <t>Coil:Cooling:DX:TwoSpeed, KHÔNG phải chiller. COP ở 6 trường (3 coil × hi/lo) → jEPlus tag cả 6. Gross rated 3.39928881549157.</t>
  </si>
  <si>
    <t>P5, §3.5</t>
  </si>
  <si>
    <t>EPD validity</t>
  </si>
  <si>
    <t>EN 15804 hiệu lực 5 năm; ITB 148/2021 có thể hết hạn ~2026 → VERIFY trước submit.</t>
  </si>
  <si>
    <t>EC1, Appendix D</t>
  </si>
  <si>
    <t>EPS A1–A3 biến thiên</t>
  </si>
  <si>
    <t>A1–A3 EPS chênh ~7× giữa các EPD theo quốc gia (Arslan 2024) → khóa 1 nguồn + nêu độ bất định Limitations.</t>
  </si>
  <si>
    <t>f3, Limitations</t>
  </si>
  <si>
    <t>P2 vật liệu = EPS (không XPS)</t>
  </si>
  <si>
    <t>Lý do: (1) màng chống thấm nằm trên insulation → bảo vệ; (2) XPS A1–A3 chênh ~50× theo blowing agent, không công bố ở VN → không verify được.</t>
  </si>
  <si>
    <t>DECIDED</t>
  </si>
  <si>
    <t>Chuẩn hóa</t>
  </si>
  <si>
    <t>A1–A3 &amp; cost chuẩn hóa /m² sàn (A_floor=4982). Roof factor = 1660.73/4982 = 0.333.</t>
  </si>
  <si>
    <t>Inventory</t>
  </si>
  <si>
    <t>P1 cost chưa chốt</t>
  </si>
  <si>
    <t>P1 dùng chung EC1, nhưng giá EPS ETICS (tường) có thể khác board trần → cần dòng cost riêng (C-mới).</t>
  </si>
  <si>
    <t>P1, DataSources</t>
  </si>
  <si>
    <t>{0.55, 0.63, 0.70, 0.77}</t>
  </si>
  <si>
    <t>EC2</t>
  </si>
  <si>
    <t>No coating (a=0.45)</t>
  </si>
  <si>
    <t>F13 Abs:Solar=0.45</t>
  </si>
  <si>
    <t>No-intervention rung; = ASHRAE 90.1-19 CZ0-3 min aged (SR0.55/TE0.75)</t>
  </si>
  <si>
    <t>Cool coating (a=0.37)</t>
  </si>
  <si>
    <t>F13 Abs:Solar=0.37</t>
  </si>
  <si>
    <t>1.7–2.7</t>
  </si>
  <si>
    <t>C3</t>
  </si>
  <si>
    <t>aged 3-yr SR = Title 24 min; material-only; TE giữ 0.75</t>
  </si>
  <si>
    <t>HP white acrylic (a=0.30)</t>
  </si>
  <si>
    <t>F13 Abs:Solar=0.30</t>
  </si>
  <si>
    <t>aged trong dải CRRC 0.62–0.77</t>
  </si>
  <si>
    <t>Premium white (a=0.23)</t>
  </si>
  <si>
    <t>F13 Abs:Solar=0.23</t>
  </si>
  <si>
    <t>White acrylic elastomeric roof coating (A1–A3)</t>
  </si>
  <si>
    <t>1.46 kgCO₂e/m²·20y (Stage-1, white finish 41-300); RSL 15y (ASTM D6083)</t>
  </si>
  <si>
    <t>EPD10818 (ISO 21930 Type III)</t>
  </si>
  <si>
    <t>Sherwin-Williams / NSF</t>
  </si>
  <si>
    <t>~04/2028</t>
  </si>
  <si>
    <t>info.nsf.org/Certified/Sustain/ProdCert/EPD10818.pdf</t>
  </si>
  <si>
    <t>EC-F4</t>
  </si>
  <si>
    <t>GAF Acrylic Top Coat (cross-check)</t>
  </si>
  <si>
    <t>FU 1m²·20y; RSL 15y</t>
  </si>
  <si>
    <t>EPD10918 (ISO 21930 Type III)</t>
  </si>
  <si>
    <t>GAF / NSF</t>
  </si>
  <si>
    <t>~01/2029</t>
  </si>
  <si>
    <t>gaf.com/.../gaf-acrylic-top-coat-epd.pdf</t>
  </si>
  <si>
    <t>cross-check P3</t>
  </si>
  <si>
    <t>Sơn chống nóng phản quang KOVA CN-05</t>
  </si>
  <si>
    <t>5.219.000đ/thùng 20kg = 260.950 đ/kg (material)</t>
  </si>
  <si>
    <t>Paintmart (paintmart.vn)</t>
  </si>
  <si>
    <t>Thành Vạn Phát</t>
  </si>
  <si>
    <t>(web listing)</t>
  </si>
  <si>
    <t>paintmart.vn/son-ngoai-that-chong-nong-mai-ton-kova-cn-05-thung-20kg</t>
  </si>
  <si>
    <t>S5</t>
  </si>
  <si>
    <t>ASHRAE 90.1-2019 §5.5.3.1.1 (roof SR/TE)</t>
  </si>
  <si>
    <t>CZ0-3: aged SR≥0.55 &amp; TE≥0.75 hoặc SRI≥64</t>
  </si>
  <si>
    <t>ASHRAE 90.1-2019 / CRRC S100</t>
  </si>
  <si>
    <t>ASHRAE</t>
  </si>
  <si>
    <t>ashrae.org (addendum s)</t>
  </si>
  <si>
    <t>P3 L0 + TE</t>
  </si>
  <si>
    <t>S6</t>
  </si>
  <si>
    <t>Cool roof ladder anchors (aged 3-yr SR)</t>
  </si>
  <si>
    <t>Title 24 aged SR≥0.63 (L1); CRRC directory aged SR/product (L2,L3)</t>
  </si>
  <si>
    <t>Title 24 Part 6 / CRRC Rated Products Directory</t>
  </si>
  <si>
    <t>CEC / CRRC</t>
  </si>
  <si>
    <t>coolroofs.org/directory/roof</t>
  </si>
  <si>
    <t>P3 ladder</t>
  </si>
  <si>
    <t>Roof thermal emittance (TE, outer)</t>
  </si>
  <si>
    <t>Giữ cố định cho P3 (single-variable); = ASHRAE 90.1 CZ0-3 min aged</t>
  </si>
  <si>
    <t>P3 baseline = code-min cool roof</t>
  </si>
  <si>
    <t>SR 0.55 + TE 0.75 đúng bằng ASHRAE 90.1-2019 §5.5.3.1.1 (CZ0-3) → headroom hẹp; material cho NZEB Paradox</t>
  </si>
  <si>
    <t>§4, P3</t>
  </si>
  <si>
    <t>P3 low-magnitude kỳ vọng</t>
  </si>
  <si>
    <r>
      <t>Mái đã R-25 + đã cool sẵn → P2×P3 substitutive; ΔEUI(P3) có thể chỉ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scheme val="minor"/>
      </rPr>
      <t>n-vị-%</t>
    </r>
  </si>
  <si>
    <t>P3 EC = ISO 21930 (không EN 15804)</t>
  </si>
  <si>
    <t>EN 15804 chỉ có màng PU dày 2.3mm (sai FU); functional match &gt; family; embodied P3 ≈0.03% operational → immaterial</t>
  </si>
  <si>
    <t>EC2, Limitations</t>
  </si>
  <si>
    <t>P3 B4=0 + TE fixed</t>
  </si>
  <si>
    <t>EPD FU=20y đã gộp recoat (RSL15y, Stage-3≈0) → B4=0 tránh double-count; TE giữ 0.75 = conservative (coating thật ~0.88)</t>
  </si>
  <si>
    <t>P3, §3.6</t>
  </si>
  <si>
    <t>P3 cost: KOVA marketing ≠ physics</t>
  </si>
  <si>
    <r>
      <t>phản xạ 90% = initial marketing, KHÔNG dùng cho E+; coverage datasheet ch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scheme val="minor"/>
      </rPr>
      <t>a pin → cost band 1.7–2.7</t>
    </r>
  </si>
  <si>
    <t>P3, C3</t>
  </si>
  <si>
    <t>{24.0, 24.5, 25.0, 25.5, 26.0}</t>
  </si>
  <si>
    <t>Occupied cooling setpoint schedule</t>
  </si>
  <si>
    <t>Occupied SP 24.0°C (baseline)</t>
  </si>
  <si>
    <t>CLGSETP occ=24.0</t>
  </si>
  <si>
    <t>Occupied SP 24.5°C</t>
  </si>
  <si>
    <t>CLGSETP occ=24.5</t>
  </si>
  <si>
    <t>operational-only</t>
  </si>
  <si>
    <t>Occupied SP 25.0°C</t>
  </si>
  <si>
    <t>CLGSETP occ=25.0</t>
  </si>
  <si>
    <t>Occupied SP 25.5°C</t>
  </si>
  <si>
    <t>CLGSETP occ=25.5</t>
  </si>
  <si>
    <t>Occupied SP 26.0°C</t>
  </si>
  <si>
    <t>CLGSETP occ=26.0</t>
  </si>
  <si>
    <t>S7</t>
  </si>
  <si>
    <t>|PMV|≤0.5; inputs: 0.5 clo (occupied), 0.2 m/s air, ~1.0–1.2 met</t>
  </si>
  <si>
    <t>ASHRAE 55 / IDF FANGER model</t>
  </si>
  <si>
    <t>(project file IDF)</t>
  </si>
  <si>
    <t>g1, P6</t>
  </si>
  <si>
    <t>Clothing insulation (occupied)</t>
  </si>
  <si>
    <t>clo</t>
  </si>
  <si>
    <t>PMV input (CLOTHING_SCH); cap trần P6</t>
  </si>
  <si>
    <t>Indoor air velocity</t>
  </si>
  <si>
    <t>m/s</t>
  </si>
  <si>
    <t>PMV input (AIR_VELO_SCH); still air → P6 cap ~26°C; elevated-air = future work</t>
  </si>
  <si>
    <t>Cooling setpoint setback (unoccupied)</t>
  </si>
  <si>
    <t>°C</t>
  </si>
  <si>
    <t>Giữ cố định; trần ladder P6 ≤ giá trị này</t>
  </si>
  <si>
    <t>P6 ladder cap 26°C</t>
  </si>
  <si>
    <t>Setback 26.7 + comfort edge (0.5clo/0.2m·s⁻¹) ~26 → cap 26 tránh inversion &amp; infeasible; improvement-only từ L0=24</t>
  </si>
  <si>
    <t>P6, §3.5</t>
  </si>
  <si>
    <t>g1 thiếu PMV output</t>
  </si>
  <si>
    <r>
      <t>IDF có FANGER nh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scheme val="minor"/>
      </rPr>
      <t>ng THIẾU Output:Variable "Zone Thermal Comfort Fanger Model PMV" → PHẢI thêm để jEPlus trích g1</t>
    </r>
  </si>
  <si>
    <t>g1, jEPlus</t>
  </si>
  <si>
    <t>P6 EMS optimum-start</t>
  </si>
  <si>
    <t>CLGSETP có EMS actuator + schedule _STARTSTOP → tag occ value ở CẢ 2 schedule; verify EMS không override occupied SP</t>
  </si>
  <si>
    <t>P6, jEPlus</t>
  </si>
  <si>
    <t>P6 elevated air speed = future work</t>
  </si>
  <si>
    <t>AIR_VELO_SCH fixed 0.2 m/s; nếu cho 0.8 m/s (quạt) setpoint có thể lên 27–28°C mà vẫn PMV≤0.5</t>
  </si>
  <si>
    <t>§future work</t>
  </si>
  <si>
    <t>Baseline luminaires (no intervention)</t>
  </si>
  <si>
    <t>3.2–6.1</t>
  </si>
  <si>
    <t>EC3</t>
  </si>
  <si>
    <t>C4</t>
  </si>
  <si>
    <t>EPD Hub HUB-5969 (One Click LCA)</t>
  </si>
  <si>
    <t>haledco.com bảng giá</t>
  </si>
  <si>
    <t>C5</t>
  </si>
  <si>
    <t>B5</t>
  </si>
  <si>
    <t>LED retrofit EC/cost model</t>
  </si>
  <si>
    <t>{6.66, 6.0, 5.3, 4.6, 4.0}</t>
  </si>
  <si>
    <t>LED panel retrofit (efficacy-driven)</t>
  </si>
  <si>
    <t>Lights W/m² ×15 = 6.66362</t>
  </si>
  <si>
    <t>LED panel 600×600, illuminance-preserved</t>
  </si>
  <si>
    <t>Lights W/m² ×15 = 6.0</t>
  </si>
  <si>
    <t>material-only; efficacy-driven</t>
  </si>
  <si>
    <t>Lights W/m² ×15 = 5.3</t>
  </si>
  <si>
    <t>Lights W/m² ×15 = 4.6</t>
  </si>
  <si>
    <t>High-efficacy LED ~165–170 lm/W</t>
  </si>
  <si>
    <t>Lights W/m² ×15 = 4.0</t>
  </si>
  <si>
    <t>material-only; floor = current panel efficacy</t>
  </si>
  <si>
    <t>LED panel 595×595, 22/29W, 170 lm/W, 1.96 kg</t>
  </si>
  <si>
    <t>45.9 kgCO₂e/unit (A1–A3, 29W); power-invariant; L70 100.000h</t>
  </si>
  <si>
    <t>OPPLE / EPD Hub</t>
  </si>
  <si>
    <t>manage.epdhub.com (HUB-5969)</t>
  </si>
  <si>
    <t>LED panel 600×600 36–48W (office grade)</t>
  </si>
  <si>
    <t>458k–888k VNĐ/đèn; đại diện ~650k (material)</t>
  </si>
  <si>
    <t>HALEDCO</t>
  </si>
  <si>
    <t>haledco.com/.../bao-gia-den-led-panel-600x600</t>
  </si>
  <si>
    <t>LED panel 600×600 (cross-check)</t>
  </si>
  <si>
    <t>Paragon 732k–1.625k; Panasonic 900k–1.280k VNĐ/đèn</t>
  </si>
  <si>
    <t>dmtlight.vn bảng giá</t>
  </si>
  <si>
    <t>DMT Light</t>
  </si>
  <si>
    <t>dmtlight.vn/.../bang-gia-den-led-am-tran-600x600</t>
  </si>
  <si>
    <t>cross-check P7</t>
  </si>
  <si>
    <t>N=0.18 đèn/m² (≈6.66÷36W; grid 600×600); A1–A3/m² flat=8.3; B4=0 (L70≫20y); floor 4.0=~165 lm/W</t>
  </si>
  <si>
    <t>Internal (lumen + EC3/B1)</t>
  </si>
  <si>
    <t>P7 LPD non-binding + free-win</t>
  </si>
  <si>
    <t>QCVN 11 W/m² ≫ baseline 6.66 → non-binding. LED retrofit win-win: B6↓, embodied flat ~8.3, B4=0. Optimizer kỳ vọng pin floor L4=4.0. Contrast P1 paradox.</t>
  </si>
  <si>
    <t>P7, §3.6, §4</t>
  </si>
  <si>
    <t>P7 EC/cost anchor N</t>
  </si>
  <si>
    <t>N=0.18 đèn/m² chi phối EC &amp; cost (±30%); embodied ~4% of 20y operational → không lật kết luận. Floor 4.0 = best-current panel efficacy ở độ rọi VP bảo toàn (≈0.37 W/ft²).</t>
  </si>
  <si>
    <t>P7, Inventory, Limitations</t>
  </si>
  <si>
    <t>{0, 30, 60, 90, 120, 150}</t>
  </si>
  <si>
    <t>Roof mono-Si array; PVWatts post-proc (tilt 10°/az 180°)</t>
  </si>
  <si>
    <t>EC4</t>
  </si>
  <si>
    <t>✗</t>
  </si>
  <si>
    <t>0 kWp</t>
  </si>
  <si>
    <t>No PV (baseline roof)</t>
  </si>
  <si>
    <t>Post-proc: 0 kWp (no PV); not in jEPlus</t>
  </si>
  <si>
    <t>30 kWp (6.02 W/m²flr)</t>
  </si>
  <si>
    <t>Roof mono-Si ~143 m² mod / ~204 m² footprint (12% roof)</t>
  </si>
  <si>
    <t>Post-proc: PVgen = SY×kWp (SY via PVWatts tilt10°/az180°/loss14%)</t>
  </si>
  <si>
    <t>2.3–3.0</t>
  </si>
  <si>
    <t>C6</t>
  </si>
  <si>
    <t>60 kWp (12.04 W/m²flr)</t>
  </si>
  <si>
    <t>Roof mono-Si ~286 m² mod / ~408 m² footprint (25% roof)</t>
  </si>
  <si>
    <t>Post-proc: PVgen = SY×kWp</t>
  </si>
  <si>
    <t>4.6–6.0</t>
  </si>
  <si>
    <t>90 kWp (18.06 W/m²flr)</t>
  </si>
  <si>
    <t>Roof mono-Si ~429 m² mod / ~612 m² footprint (37% roof)</t>
  </si>
  <si>
    <t>7.0–9.0</t>
  </si>
  <si>
    <t>120 kWp (24.09 W/m²flr)</t>
  </si>
  <si>
    <t>Roof mono-Si ~571 m² mod / ~816 m² footprint (49% roof)</t>
  </si>
  <si>
    <t>9.3–12.0</t>
  </si>
  <si>
    <t>L5</t>
  </si>
  <si>
    <t>150 kWp (30.11 W/m²flr)</t>
  </si>
  <si>
    <t>Roof mono-Si ~714 m² mod / ~1020 m² footprint (61% roof; feasibility edge)</t>
  </si>
  <si>
    <t>11.6–15.1</t>
  </si>
  <si>
    <t>LCA (peer-rev.)</t>
  </si>
  <si>
    <t>PV system embodied (c-Si, installed)</t>
  </si>
  <si>
    <t>615 kgCO₂e/kWp (2020 ref); sensitivity 400–2,500 (ultra-low ↔ legacy)</t>
  </si>
  <si>
    <t>Louwen et al. 2016, Nature Energy (via Etude 2025 synthesis)</t>
  </si>
  <si>
    <t>Louwen et al. / Etude</t>
  </si>
  <si>
    <t>2016/2025</t>
  </si>
  <si>
    <t>30/06/2026</t>
  </si>
  <si>
    <t>etude.co.uk/how-we-work/low-embodied-carbon-of-pv ; doi:10.1038/nenergy.2016.36</t>
  </si>
  <si>
    <t>EC6</t>
  </si>
  <si>
    <t>Estimate (lit.)</t>
  </si>
  <si>
    <t>PV inverter embodied → B4 (×1 replacement)</t>
  </si>
  <si>
    <t>≈35 kgCO₂e/kWp (~5% system; RSL~12y → 1× in 20y; minor =1.05/m² @150kWp)</t>
  </si>
  <si>
    <t>Inverter share of WLC profile (CIBSE Marsland 2023); refine w/ inverter EPD</t>
  </si>
  <si>
    <t>CIBSE / internal</t>
  </si>
  <si>
    <t>cibse.org/media/251diyyp/...pv-payback...pdf</t>
  </si>
  <si>
    <t>P8 (B4)</t>
  </si>
  <si>
    <t>EC-F5</t>
  </si>
  <si>
    <t>Brand module EPD cross-check</t>
  </si>
  <si>
    <t>Trina Vertex N 13.2 gCO₂e/kWh; Jinko, JA Solar (EN15804/ISO14025) — corroborate EC4</t>
  </si>
  <si>
    <t>UL Solutions / EPDItaly (Trina); EPEAT 630–857 kgCO₂e/kWp</t>
  </si>
  <si>
    <t>UL / EPDItaly / GEC</t>
  </si>
  <si>
    <t>2021–2025</t>
  </si>
  <si>
    <t>pveurope.eu (Trina Vertex N EPD); globalelectronicscouncil.org</t>
  </si>
  <si>
    <t>cross-check P8</t>
  </si>
  <si>
    <t>Rooftop PV turnkey, grid-tied (commercial 30–150 kWp, no BESS)</t>
  </si>
  <si>
    <t>10–15 tr VNĐ/kWp (comm. ~10–13) ≈ 385–500 USD/kWp @ 26k VNĐ/USD</t>
  </si>
  <si>
    <t>DMT Solar bảng giá (06/2026); DHC Solar 12–16 tr (01/2026) cross-check</t>
  </si>
  <si>
    <t>DMT Solar / DHC Solar</t>
  </si>
  <si>
    <t>dmtsolar.com/dien-nang-luong-mat-troi</t>
  </si>
  <si>
    <t>B6</t>
  </si>
  <si>
    <t>PV specific yield (HCMC, tilt 10°/az 180°/loss 14%)</t>
  </si>
  <si>
    <t>≈1,420 kWh/kWp/yr — FINALIZE via PVWatts run</t>
  </si>
  <si>
    <t>NREL PVWatts; GSA + VietnamSolar HCMC 3.91 kWh/kWp·day (=1,427/yr) cross-check</t>
  </si>
  <si>
    <t>NREL / World Bank GSA</t>
  </si>
  <si>
    <t>globalsolaratlas.info</t>
  </si>
  <si>
    <t>f2, f3-B6 (P8)</t>
  </si>
  <si>
    <t>S8</t>
  </si>
  <si>
    <t>Rooftop PV self-consumption legal framework</t>
  </si>
  <si>
    <t>&lt;100 kW: notify; ≥100 kW: registration; post-FIT excess export ~no tariff</t>
  </si>
  <si>
    <t>NĐ 135/2024/NĐ-CP; NĐ 58/2025/NĐ-CP</t>
  </si>
  <si>
    <t>Chính phủ VN</t>
  </si>
  <si>
    <t>2024/2025</t>
  </si>
  <si>
    <t>(gov/project file)</t>
  </si>
  <si>
    <t>f2 (P8, P9)</t>
  </si>
  <si>
    <t>LFP BESS; rule-based self-consumption (zero-export)</t>
  </si>
  <si>
    <t>EC5</t>
  </si>
  <si>
    <t>0 kWh</t>
  </si>
  <si>
    <t>No BESS (baseline)</t>
  </si>
  <si>
    <t>Post-proc: 0 kWh (no storage); not in jEPlus</t>
  </si>
  <si>
    <t>No-intervention rung; f1/EUI unchanged (BESS only time-shifts)</t>
  </si>
  <si>
    <t>30 kWh (6.02 Wh/m²flr)</t>
  </si>
  <si>
    <t>LFP pack ~27 kWh usable (DoD 90%) + BMS; hybrid-coupled</t>
  </si>
  <si>
    <t>Post-proc: dispatch on PV+load; RTE 90%, zero grid-charge, zero-export</t>
  </si>
  <si>
    <t>1.6–2.5</t>
  </si>
  <si>
    <t>C7</t>
  </si>
  <si>
    <t>60 kWh (12.04 Wh/m²flr)</t>
  </si>
  <si>
    <t>LFP ~54 kWh usable + BMS</t>
  </si>
  <si>
    <t>Post-proc: dispatch; RTE 90%, zero-export</t>
  </si>
  <si>
    <t>3.2–5.1</t>
  </si>
  <si>
    <t>90 kWh (18.06 Wh/m²flr)</t>
  </si>
  <si>
    <t>LFP ~81 kWh usable + BMS</t>
  </si>
  <si>
    <t>4.9–7.6</t>
  </si>
  <si>
    <t>120 kWh (24.09 Wh/m²flr)</t>
  </si>
  <si>
    <t>LFP ~108 kWh usable + BMS</t>
  </si>
  <si>
    <t>6.5–10.2</t>
  </si>
  <si>
    <t>NSGA-III picks (PV,BESS) independently — not forced 1:1</t>
  </si>
  <si>
    <t>150 kWh (30.11 Wh/m²flr)</t>
  </si>
  <si>
    <t>LFP ~135 kWh usable + BMS</t>
  </si>
  <si>
    <t>8.1–12.7</t>
  </si>
  <si>
    <t>LFP battery embodied (cradle-to-gate, A1–A3 + B4)</t>
  </si>
  <si>
    <t>70 kgCO₂e/kWh (central); range 48–120 (sensitivity)</t>
  </si>
  <si>
    <t>Degen et al. 2024, J. Cleaner Production (loc.-dependent LIB)</t>
  </si>
  <si>
    <t>Degen et al.</t>
  </si>
  <si>
    <t>EC-F6</t>
  </si>
  <si>
    <t>Battery embodied cross-check</t>
  </si>
  <si>
    <t>59–119 kgCO₂e/kWh (midpoint 89, utility-scale); 74–134 (datacenter LCA)</t>
  </si>
  <si>
    <t>Forbes/Rapier 2020; Carbon Explorer (arXiv 2201.10036)</t>
  </si>
  <si>
    <t>Forbes / Meta</t>
  </si>
  <si>
    <t>2020/2022</t>
  </si>
  <si>
    <t>forbes.com/sites/rrapier (utility-scale battery)</t>
  </si>
  <si>
    <t>cross-check P9</t>
  </si>
  <si>
    <t>LFP BESS turnkey (battery+BMS, commercial 30–150 kWh)</t>
  </si>
  <si>
    <t>7–11 tr VNĐ/kWh ≈ 269–423 USD/kWh @ 26k; Pylontech 80tr/7kWh, Topband 13tr/kWh (resid.) → comm. lower</t>
  </si>
  <si>
    <t>Suntech Solar 04/2026; VietnamSolar Stack100 05/2026</t>
  </si>
  <si>
    <t>Suntech / VietnamSolar</t>
  </si>
  <si>
    <t>04–05/2026</t>
  </si>
  <si>
    <t>suntechsolar.vn/gia-thanh-pin-luu-tru ; vietnamsolar.vn</t>
  </si>
  <si>
    <t>B7</t>
  </si>
  <si>
    <t>BESS dispatch model (rule-based)</t>
  </si>
  <si>
    <t>Zero grid-charge, zero-export, pure PV self-consumption; RTE 90%; DoD 90%; 6000 cyc → 1 replacement/20y</t>
  </si>
  <si>
    <t>Internal rule-based; LFP spec IEC 62619 (BYD/Pylontech)</t>
  </si>
  <si>
    <t>internal / IEC</t>
  </si>
  <si>
    <t>f2, f3 (P9)</t>
  </si>
  <si>
    <t>S9</t>
  </si>
  <si>
    <t>Standard/Tariff</t>
  </si>
  <si>
    <t>doi:10.1016/j.jclepro.2024.142242 (sciencedirect S0959652624011739)</t>
    <phoneticPr fontId="4" type="noConversion"/>
  </si>
  <si>
    <t>{3.40, 3.65, 3.90, 4.15, 4.40}</t>
  </si>
  <si>
    <t>Air-cooled packaged DX swap; gross COP (EER 10.1→13.1)</t>
  </si>
  <si>
    <t>B8</t>
  </si>
  <si>
    <t>DX gross↔net COP conversion (E+ table.htm DX Cooling Coils summary)</t>
  </si>
  <si>
    <t>gross 3.3993 / net 2.96 / EER 10.09 / IEER 11.57; gross÷net=1.149; net COP=EER/3.412</t>
  </si>
  <si>
    <t>ASHRAE901_OfficeMedium_STD2019_HoChiMinh_table.htm</t>
  </si>
  <si>
    <t>P5 (net↔gross basis)</t>
  </si>
  <si>
    <t>S10</t>
  </si>
  <si>
    <t>Standard/Market</t>
  </si>
  <si>
    <t>Packaged DX efficiency tiers (AHRI 340/360, ≥240k Btu/h, air-cooled)</t>
  </si>
  <si>
    <t>90.1-2019 ≥240k min EER~10.1 (L0); 90.1-2010 min EER 11.0/IEER 11.2; CEE Adv. Tier very-large ~13.5–14.5 IEER; AAON air-cooled EER 12.1–14.8 (2–240 ton)</t>
  </si>
  <si>
    <t>AAON RTU page; E Source/Business Energy Advisor; ACEEE/CEE 2016</t>
  </si>
  <si>
    <t>AAON / E Source / ACEEE</t>
  </si>
  <si>
    <t>2016–2026</t>
  </si>
  <si>
    <t>aaon.com/products/packaged-rooftop-units ; esource.bizenergyadvisor.com ; aceee.org</t>
  </si>
  <si>
    <t>P5 ladder anchors</t>
  </si>
  <si>
    <t>C8</t>
  </si>
  <si>
    <t>Packaged DX installed swap cost + efficiency premium</t>
  </si>
  <si>
    <t>Full-unit swap ≈$2,000–2,800/ton installed (equip $1,000–1,400/ton large + install ≈ equal); base ≈$38–53/m²floor (93.5 ton ÷ 4982 m²); +~10–30% premium top tier; all-in RTU $14–28/SF context</t>
  </si>
  <si>
    <t>thefurnaceoutlet 2025 (20-ton guide); Terrapin/RSMeans 2026 Q1</t>
  </si>
  <si>
    <t>The Furnace Outlet / Terrapin (RSMeans)</t>
  </si>
  <si>
    <t>2025–2026</t>
  </si>
  <si>
    <t>thefurnaceoutlet.com ; terrapincg.com/news/commercial-hvac-cost-per-square-foot-2026</t>
  </si>
  <si>
    <t>P5 cost (US proxy; VN large-packaged-DX market thin)</t>
  </si>
  <si>
    <t>Baseline untouched =3.3993; 6 fields bot/mid/top×hi/lo</t>
  </si>
  <si>
    <t>n/a (scope)</t>
  </si>
  <si>
    <t>Packaged DX swap, EER~10.8 (code-typical ~90.1-2010 min)</t>
  </si>
  <si>
    <t>38–53</t>
  </si>
  <si>
    <t>Framing A (full-unit swap, L0=$0). Cost/carbon asymmetry justified (diff. citability + negligible + common-mode)</t>
  </si>
  <si>
    <t>Packaged DX swap, EER~11.6 (high-eff, AAON entry 12.1)</t>
  </si>
  <si>
    <t>41–58</t>
  </si>
  <si>
    <t>+~10% premium vs L1 base</t>
  </si>
  <si>
    <t>Packaged DX swap, EER~12.3 (CEE Adv. Tier very-large)</t>
  </si>
  <si>
    <t>45–63</t>
  </si>
  <si>
    <t>+~20% premium</t>
  </si>
  <si>
    <t>Packaged DX swap, EER~13.1 (premium best-available air-cooled)</t>
  </si>
  <si>
    <t>49–69</t>
  </si>
  <si>
    <t>U=2.862; SHGC=0.219; VT=0.241</t>
  </si>
  <si>
    <t>Baseline IGU (verified IDF+table.htm); keep existing</t>
  </si>
  <si>
    <t>P4: 12 fields E/S/W/N×U/SHGC/VT (untouched); WWR &amp; frame fixed</t>
  </si>
  <si>
    <t>U=1.60; SHGC=0.19; VT=0.27</t>
  </si>
  <si>
    <t>Double spectrally-selective low-e, argon (mid solar-control)</t>
  </si>
  <si>
    <t>8–14</t>
  </si>
  <si>
    <t>EC7</t>
  </si>
  <si>
    <t>C9</t>
  </si>
  <si>
    <t>U=1.50; SHGC=0.17; VT=0.24</t>
  </si>
  <si>
    <t>9–14</t>
  </si>
  <si>
    <t>Anchor = real AGC documented edge</t>
  </si>
  <si>
    <t>U=1.50; SHGC=0.15; VT=0.20</t>
  </si>
  <si>
    <t>Tinted spectrally-selective, argon</t>
  </si>
  <si>
    <t>11–16</t>
  </si>
  <si>
    <t>U=1.50; SHGC=0.13; VT=0.17</t>
  </si>
  <si>
    <t>Reflective/heavy-tint selective, argon (best solar control)</t>
  </si>
  <si>
    <t>13–19</t>
  </si>
  <si>
    <t>Below AGC std floor (specialty); lowest VT; cap at L3 if conservative</t>
  </si>
  <si>
    <t>EPD-derived</t>
  </si>
  <si>
    <t>IGU embodied A1–A3 (double low-e/SS, 6-12-6 tempered)</t>
  </si>
  <si>
    <t>≈30 kgCO₂e/m²glass (range 25–38) → 3.9 kgCO₂e/m²floor (×0.131); from flat glass 1102 kgCO₂e/ton + IGU fab/temper</t>
  </si>
  <si>
    <t>Guardian NA flat glass EPD (2024) + EN 15804 IGU range</t>
  </si>
  <si>
    <t>Guardian Glass / GSA</t>
  </si>
  <si>
    <t>(EPD refs)</t>
  </si>
  <si>
    <t>P4. AGC Thermobel 10-16-8 cross-check but EXPIRED 06/2024 → not cited for GWP</t>
  </si>
  <si>
    <t>S11</t>
  </si>
  <si>
    <t>Standard/Product</t>
  </si>
  <si>
    <t>Glazing property tiers (solar-control IGU, EN 410/673)</t>
  </si>
  <si>
    <t>AGC solar-control range Ug 1.0–1.1, g 17–41%, Tv 24–74%; anchors Vitro Solarban 90 / Guardian SNX 51/23 (VT~0.51, SHGC~0.23)</t>
  </si>
  <si>
    <t>AGC Thermobel EPD product table; Vitro/Guardian product data</t>
  </si>
  <si>
    <t>AGC / Vitro / Guardian</t>
  </si>
  <si>
    <t>2019–2026</t>
  </si>
  <si>
    <t>agc-yourglass.com ; vitrowindowglass.com</t>
  </si>
  <si>
    <t>P4 ladder anchors</t>
  </si>
  <si>
    <t>Low-E/solar-control IGU phôi (6-12-6 tempered)</t>
  </si>
  <si>
    <t>1,200,000–1,700,000 VNĐ/m² (std); tới 2,300,000 (nhập khẩu) = $46–88/m²glass @26k; +reglaze labor/edging ~40% → $8–19/m²floor (×0.131)</t>
  </si>
  <si>
    <t>Havaco VN bảng giá Low-E 2026</t>
  </si>
  <si>
    <t>Havaco VN</t>
  </si>
  <si>
    <t>havaco.vn/goc-tu-van/kinh-low-e-la-gi</t>
  </si>
  <si>
    <t>P4 (panel; keep Al frame, WWR fixed)</t>
  </si>
  <si>
    <t>B9</t>
  </si>
  <si>
    <t>Glazing baseline &amp; area (E+ IDF/table.htm)</t>
  </si>
  <si>
    <t>U 2.862 / SHGC 0.219 / VT 0.241 (4 obj E/S/W/N); window area 652.62 m²; glass/floor=0.131; 13 Daylighting:Controls (VT→f1)</t>
  </si>
  <si>
    <t>IDF SimpleGlazingSystem + table.htm fenestration</t>
  </si>
  <si>
    <t>EnergyPlus / DOE</t>
  </si>
  <si>
    <t>P4 baseline + normalization</t>
  </si>
  <si>
    <t>Spectrally-selective IGU (paired U·SHGC·VT), double argon</t>
  </si>
  <si>
    <t>U 2.862 / SHGC 0.219 / VT 0.241</t>
    <phoneticPr fontId="4" type="noConversion"/>
  </si>
  <si>
    <t>SHGC {0.219,0.19,0.17,0.15,0.13}; U {2.86,1.60,1.50,1.50,1.50}; VT {0.241,0.27,0.24,0.20,0.17}</t>
    <phoneticPr fontId="4" type="noConversion"/>
  </si>
  <si>
    <t>EVN điện kinh doanh (Nhóm 3.3, 6–22kV) — cơ sở f2 avoided-cost</t>
  </si>
  <si>
    <t>Trước VAT: BT 3.108 / TĐ 1.829 / CĐ 5.202 đ/kWh. Blended office (~70%BT/25%CĐ/5%TĐ) ≈3.568 đ = $0.137/kWh @26k. Sau VAT8% ≈3.853=$0.148. VAT recoverable→dùng before-VAT</t>
  </si>
  <si>
    <t>QĐ 1279/QĐ-BCT (giá) + QĐ 963/QĐ-BCT (khung giờ)</t>
  </si>
  <si>
    <t>Bộ Công Thương / EVN</t>
  </si>
  <si>
    <t>1279:09/05/2025; 963:22/04/2026</t>
  </si>
  <si>
    <t>evn.com.vn ; evnspc.vn/TraCuu/ThongTinGiaDien</t>
  </si>
  <si>
    <t>f2: P5/P6/P7 avoided + P8/P9 self-consumption</t>
  </si>
  <si>
    <t>C10</t>
  </si>
  <si>
    <t>Wall EPS ETICS installed (PROXY — VN market thin)</t>
  </si>
  <si>
    <t>VN không có đơn giá ETICS sạch (panel tôn-xốp ≠ ETICS). Proxy: UK resid. £83–125/m²wall ($105–160); EU comm. ~$50–80; VN-adjusted ~$40–70/m²wall → ×0.266 = $10–20/m²floor</t>
  </si>
  <si>
    <t>EWI Store UK (£8–12k/96m²); EU ETICS (Sika/Rockwool/Sto)</t>
  </si>
  <si>
    <t>EWI Store / EU ETICS</t>
  </si>
  <si>
    <t>2024–2026</t>
  </si>
  <si>
    <t>ewistore.co.uk/how-to-calculate-the-cost-of-an-external-wall-insulation-system</t>
  </si>
  <si>
    <t>P1 (proxy; refine = báo giá nhà thầu facade VN; P1 expected inactive)</t>
  </si>
  <si>
    <t>B10</t>
  </si>
  <si>
    <t>Replacement (B4) COST model → f2 LCC engine</t>
  </si>
  <si>
    <t>DX(P5) 1×@yr15 (ASHRAE RSL~15y)=C8 $/ton; PV inverter(P8) 1×@yr12=10–15%C6 ($40–75/kWp); BESS(P9) 1×@yr12 (6000cyc)=pack 65–75%C7 ($160–320/kWh). Price-decline bỏ qua=conservative. Discount→PV; KHÔNG vào Capital cost year-0</t>
  </si>
  <si>
    <t>Derived C6/C7/C8 + ASHRAE service life</t>
  </si>
  <si>
    <t>internal / ASHRAE</t>
  </si>
  <si>
    <t>f2 (P5,P8,P9 replacement)</t>
  </si>
  <si>
    <t>10–17</t>
  </si>
  <si>
    <t>ETICS proxy (VN thin); P1 expected inactive</t>
  </si>
  <si>
    <t>11–18</t>
  </si>
  <si>
    <t>12–19</t>
  </si>
  <si>
    <t>13–20</t>
  </si>
  <si>
    <t>Giá điện EVN chốt</t>
  </si>
  <si>
    <r>
      <t>Kinh doanh 3.3/6–22kV tr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scheme val="minor"/>
      </rPr>
      <t>ớc VAT: BT 3.108/TĐ 1.829/CĐ 5.202 (QĐ1279+963). f2 áp TOU theo giờ lên output E+; blended fallback 3.568 đ ($0.137). VAT8% recoverable→before-VAT</t>
    </r>
  </si>
  <si>
    <t>f2, S9</t>
  </si>
  <si>
    <t>DONE</t>
  </si>
  <si>
    <t>P1 cost = proxy</t>
  </si>
  <si>
    <r>
      <t>VN không có đ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scheme val="minor"/>
      </rPr>
      <t>n giá ETICS sạch → proxy EU/UK $40–70/m²wall = $10–20/m²floor. Confidence THẤP; refine = báo giá nhà thầu. P1 expected inactive → low-stakes</t>
    </r>
  </si>
  <si>
    <t>P1, C10</t>
  </si>
  <si>
    <t>OPEN (proxy)</t>
  </si>
  <si>
    <t>B4-cost model</t>
  </si>
  <si>
    <t>Thay thế DX@yr15 / inverter@yr12 / BESS@yr12 (B10) → LCC engine, không vào Capital cost year-0. Conservative (bỏ price-decline)</t>
  </si>
  <si>
    <t>f2, B10</t>
  </si>
  <si>
    <r>
      <t>DOE Cool Roof Guide: 0.87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>0.77 aged</t>
    </r>
  </si>
  <si>
    <r>
      <t xml:space="preserve">No-intervention rung; 13 Daylighting:Controls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VT affects f1</t>
    </r>
  </si>
  <si>
    <r>
      <t xml:space="preserve">P4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12 fields =1.60/0.19/0.27</t>
    </r>
  </si>
  <si>
    <r>
      <t>Framing A (full reglaze, L0=$0); A1–A3=full new IGU; U</t>
    </r>
    <r>
      <rPr>
        <sz val="12"/>
        <color theme="1"/>
        <rFont val="맑은 고딕"/>
        <family val="2"/>
      </rPr>
      <t>↓</t>
    </r>
    <r>
      <rPr>
        <sz val="12"/>
        <color theme="1"/>
        <rFont val="Arial"/>
        <family val="2"/>
      </rPr>
      <t xml:space="preserve"> near-inactive in Aw</t>
    </r>
  </si>
  <si>
    <r>
      <t>Double SS low-e argon — AGC solar-control floor (g0.17/Tv0.24/Ug</t>
    </r>
    <r>
      <rPr>
        <sz val="12"/>
        <color theme="1"/>
        <rFont val="맑은 고딕"/>
        <family val="2"/>
      </rPr>
      <t>≤</t>
    </r>
    <r>
      <rPr>
        <sz val="12"/>
        <color theme="1"/>
        <rFont val="Arial"/>
        <family val="2"/>
      </rPr>
      <t>1.1)</t>
    </r>
  </si>
  <si>
    <r>
      <t xml:space="preserve">P4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12 fields =1.50/0.17/0.24</t>
    </r>
  </si>
  <si>
    <r>
      <t xml:space="preserve">P4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12 fields =1.50/0.15/0.20</t>
    </r>
  </si>
  <si>
    <r>
      <t>SHGC</t>
    </r>
    <r>
      <rPr>
        <sz val="12"/>
        <color theme="1"/>
        <rFont val="맑은 고딕"/>
        <family val="2"/>
      </rPr>
      <t>↓</t>
    </r>
    <r>
      <rPr>
        <sz val="12"/>
        <color theme="1"/>
        <rFont val="Arial"/>
        <family val="2"/>
      </rPr>
      <t xml:space="preserve"> but VT</t>
    </r>
    <r>
      <rPr>
        <sz val="12"/>
        <color theme="1"/>
        <rFont val="맑은 고딕"/>
        <family val="2"/>
      </rPr>
      <t>↓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daylight trade-off begins to bite</t>
    </r>
  </si>
  <si>
    <r>
      <t xml:space="preserve">P4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12 fields =1.50/0.13/0.17</t>
    </r>
  </si>
  <si>
    <r>
      <t xml:space="preserve">Air-cooled packaged DX, baseline (gross COP; EER 10.1; AHRI 340/360 </t>
    </r>
    <r>
      <rPr>
        <sz val="12"/>
        <color theme="1"/>
        <rFont val="맑은 고딕"/>
        <family val="2"/>
      </rPr>
      <t>≥</t>
    </r>
    <r>
      <rPr>
        <sz val="12"/>
        <color theme="1"/>
        <rFont val="Arial"/>
        <family val="2"/>
      </rPr>
      <t>240k)</t>
    </r>
  </si>
  <si>
    <r>
      <t xml:space="preserve">No-intervention rung; L0=90.1-2019 </t>
    </r>
    <r>
      <rPr>
        <sz val="12"/>
        <color theme="1"/>
        <rFont val="맑은 고딕"/>
        <family val="2"/>
      </rPr>
      <t>≥</t>
    </r>
    <r>
      <rPr>
        <sz val="12"/>
        <color theme="1"/>
        <rFont val="Arial"/>
        <family val="2"/>
      </rPr>
      <t>240k min; A1–A3=0 = SCOPE boundary (no COP-resolved EPD), not physical 0</t>
    </r>
  </si>
  <si>
    <r>
      <t xml:space="preserve">P5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6 fields =3.65; cap/airflow AUTOSIZE fixed</t>
    </r>
  </si>
  <si>
    <r>
      <t xml:space="preserve">P5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6 fields =3.90; cap/airflow AUTOSIZE fixed</t>
    </r>
  </si>
  <si>
    <r>
      <t xml:space="preserve">P5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6 fields =4.15; cap/airflow AUTOSIZE fixed</t>
    </r>
  </si>
  <si>
    <r>
      <t xml:space="preserve">P5 tag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6 fields =4.40; cap/airflow AUTOSIZE fixed</t>
    </r>
  </si>
  <si>
    <r>
      <t xml:space="preserve">Ceiling per AAON 12.1–14.8; hạ về 4.20 nếu bảo thủ. DX life ~15y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L0 B4-cost (yr15 in-kind) trong LCC engine</t>
    </r>
  </si>
  <si>
    <r>
      <t>No-intervention rung; setback 26.7 fixed; PMV</t>
    </r>
    <r>
      <rPr>
        <sz val="12"/>
        <color theme="1"/>
        <rFont val="맑은 고딕"/>
        <family val="2"/>
      </rPr>
      <t>≈−</t>
    </r>
    <r>
      <rPr>
        <sz val="12"/>
        <color theme="1"/>
        <rFont val="Arial"/>
        <family val="2"/>
      </rPr>
      <t>0.3 (hơi mát)</t>
    </r>
  </si>
  <si>
    <r>
      <t>Comfort edge; g1 |PMV|</t>
    </r>
    <r>
      <rPr>
        <sz val="12"/>
        <color theme="1"/>
        <rFont val="맑은 고딕"/>
        <family val="2"/>
      </rPr>
      <t>≤</t>
    </r>
    <r>
      <rPr>
        <sz val="12"/>
        <color theme="1"/>
        <rFont val="Arial"/>
        <family val="2"/>
      </rPr>
      <t>0.5 binds (0.5clo/0.2m·s⁻¹)</t>
    </r>
  </si>
  <si>
    <r>
      <t>No-intervention rung; QCVN LPD</t>
    </r>
    <r>
      <rPr>
        <sz val="12"/>
        <color theme="1"/>
        <rFont val="맑은 고딕"/>
        <family val="2"/>
      </rPr>
      <t>≤</t>
    </r>
    <r>
      <rPr>
        <sz val="12"/>
        <color theme="1"/>
        <rFont val="Arial"/>
        <family val="2"/>
      </rPr>
      <t>11 non-binding</t>
    </r>
  </si>
  <si>
    <r>
      <t xml:space="preserve">No-intervention rung; f1/EUI demand-side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PV never affects f1</t>
    </r>
  </si>
  <si>
    <r>
      <t>A1–A3=615 kgCO</t>
    </r>
    <r>
      <rPr>
        <sz val="12"/>
        <color theme="1"/>
        <rFont val="맑은 고딕"/>
        <family val="2"/>
      </rPr>
      <t>₂</t>
    </r>
    <r>
      <rPr>
        <sz val="12"/>
        <color theme="1"/>
        <rFont val="Arial"/>
        <family val="2"/>
      </rPr>
      <t>e/kWp (system, Louwen2016/Etude2025). B4=inverter ×1 @~yr12. PV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>f2,f3</t>
    </r>
  </si>
  <si>
    <r>
      <t xml:space="preserve">Daytime office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high self-consumption (f2)</t>
    </r>
  </si>
  <si>
    <r>
      <rPr>
        <sz val="12"/>
        <color theme="1"/>
        <rFont val="맑은 고딕"/>
        <family val="2"/>
      </rPr>
      <t>≥</t>
    </r>
    <r>
      <rPr>
        <sz val="12"/>
        <color theme="1"/>
        <rFont val="Arial"/>
        <family val="2"/>
      </rPr>
      <t xml:space="preserve">100 kW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NĐ58/2025 registration (S8); affects f2 export</t>
    </r>
  </si>
  <si>
    <r>
      <t xml:space="preserve">Near practical roof max. 20yr B6 offset </t>
    </r>
    <r>
      <rPr>
        <sz val="12"/>
        <color theme="1"/>
        <rFont val="맑은 고딕"/>
        <family val="2"/>
      </rPr>
      <t>≈</t>
    </r>
    <r>
      <rPr>
        <sz val="12"/>
        <color theme="1"/>
        <rFont val="Arial"/>
        <family val="2"/>
      </rPr>
      <t xml:space="preserve">564 </t>
    </r>
    <r>
      <rPr>
        <sz val="12"/>
        <color theme="1"/>
        <rFont val="맑은 고딕"/>
        <family val="2"/>
      </rPr>
      <t>≫</t>
    </r>
    <r>
      <rPr>
        <sz val="12"/>
        <color theme="1"/>
        <rFont val="Arial"/>
        <family val="2"/>
      </rPr>
      <t xml:space="preserve"> embodied 19.6 kgCO</t>
    </r>
    <r>
      <rPr>
        <sz val="12"/>
        <color theme="1"/>
        <rFont val="맑은 고딕"/>
        <family val="2"/>
      </rPr>
      <t>₂</t>
    </r>
    <r>
      <rPr>
        <sz val="12"/>
        <color theme="1"/>
        <rFont val="Arial"/>
        <family val="2"/>
      </rPr>
      <t xml:space="preserve">e/m²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f3 net </t>
    </r>
    <r>
      <rPr>
        <sz val="12"/>
        <color theme="1"/>
        <rFont val="맑은 고딕"/>
        <family val="2"/>
      </rPr>
      <t>−</t>
    </r>
    <r>
      <rPr>
        <sz val="12"/>
        <color theme="1"/>
        <rFont val="Arial"/>
        <family val="2"/>
      </rPr>
      <t>544</t>
    </r>
  </si>
  <si>
    <r>
      <t>A1–A3=70 kgCO</t>
    </r>
    <r>
      <rPr>
        <sz val="12"/>
        <color theme="1"/>
        <rFont val="맑은 고딕"/>
        <family val="2"/>
      </rPr>
      <t>₂</t>
    </r>
    <r>
      <rPr>
        <sz val="12"/>
        <color theme="1"/>
        <rFont val="Arial"/>
        <family val="2"/>
      </rPr>
      <t>e/kWh (LFP, Degen 2024). B4=1 replacement (~6000 cyc/10–15y). BESS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>f2,f3</t>
    </r>
  </si>
  <si>
    <r>
      <t xml:space="preserve">Recovers clipped PV only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daytime office: small uplift (secondary paradox)</t>
    </r>
  </si>
  <si>
    <r>
      <t>Embodied A1–A3+B4=4.22 kgCO</t>
    </r>
    <r>
      <rPr>
        <sz val="12"/>
        <color theme="1"/>
        <rFont val="맑은 고딕"/>
        <family val="2"/>
      </rPr>
      <t>₂</t>
    </r>
    <r>
      <rPr>
        <sz val="12"/>
        <color theme="1"/>
        <rFont val="Arial"/>
        <family val="2"/>
      </rPr>
      <t xml:space="preserve">e/m² fixed </t>
    </r>
    <r>
      <rPr>
        <sz val="12"/>
        <color theme="1"/>
        <rFont val="맑은 고딕"/>
        <family val="2"/>
      </rPr>
      <t>→</t>
    </r>
    <r>
      <rPr>
        <sz val="12"/>
        <color theme="1"/>
        <rFont val="Arial"/>
        <family val="2"/>
      </rPr>
      <t xml:space="preserve"> must pay back via recovered PV</t>
    </r>
  </si>
  <si>
    <t>ASHRAE 55 / Fanger PMV (cơ sở g1)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</si>
</sst>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sz val="8"/>
      <name val="맑은 고딕"/>
      <family val="3"/>
      <charset val="129"/>
      <scheme val="minor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FF"/>
      <name val="Arial"/>
      <family val="2"/>
    </font>
    <font>
      <sz val="12"/>
      <color theme="1"/>
      <name val="맑은 고딕"/>
      <family val="2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2" fillId="4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7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/>
    <xf numFmtId="0" fontId="7" fillId="4" borderId="1" xfId="0" applyFont="1" applyFill="1" applyBorder="1"/>
    <xf numFmtId="0" fontId="10" fillId="0" borderId="0" xfId="0" applyFont="1" applyAlignment="1">
      <alignment vertical="center" wrapText="1"/>
    </xf>
    <xf numFmtId="14" fontId="10" fillId="0" borderId="0" xfId="0" applyNumberFormat="1" applyFont="1" applyAlignment="1">
      <alignment vertical="center" wrapText="1"/>
    </xf>
    <xf numFmtId="17" fontId="10" fillId="0" borderId="0" xfId="0" applyNumberFormat="1" applyFont="1"/>
    <xf numFmtId="14" fontId="1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7.25" x14ac:dyDescent="0.3"/>
  <cols>
    <col min="1" max="1" width="10" style="13" bestFit="1" customWidth="1"/>
    <col min="2" max="2" width="17.875" style="13" bestFit="1" customWidth="1"/>
    <col min="3" max="3" width="27.25" style="13" bestFit="1" customWidth="1"/>
    <col min="4" max="4" width="7" style="13" bestFit="1" customWidth="1"/>
    <col min="5" max="5" width="18.5" style="13" bestFit="1" customWidth="1"/>
    <col min="6" max="6" width="29.25" style="13" bestFit="1" customWidth="1"/>
    <col min="7" max="7" width="61.5" style="13" bestFit="1" customWidth="1"/>
    <col min="8" max="8" width="17.25" style="13" bestFit="1" customWidth="1"/>
    <col min="9" max="9" width="10" style="13" bestFit="1" customWidth="1"/>
    <col min="10" max="10" width="9.75" style="13" bestFit="1" customWidth="1"/>
    <col min="11" max="16384" width="9" style="13"/>
  </cols>
  <sheetData>
    <row r="1" spans="1:10" ht="30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4" t="s">
        <v>10</v>
      </c>
      <c r="B2" s="14" t="s">
        <v>11</v>
      </c>
      <c r="C2" s="14" t="s">
        <v>12</v>
      </c>
      <c r="D2" s="14">
        <v>5</v>
      </c>
      <c r="E2" s="14">
        <v>1.073</v>
      </c>
      <c r="F2" s="14" t="s">
        <v>13</v>
      </c>
      <c r="G2" s="14" t="s">
        <v>14</v>
      </c>
      <c r="H2" s="14" t="s">
        <v>15</v>
      </c>
      <c r="I2" s="14" t="s">
        <v>16</v>
      </c>
      <c r="J2" s="14" t="s">
        <v>16</v>
      </c>
    </row>
    <row r="3" spans="1:10" x14ac:dyDescent="0.3">
      <c r="A3" s="14" t="s">
        <v>17</v>
      </c>
      <c r="B3" s="14" t="s">
        <v>11</v>
      </c>
      <c r="C3" s="14" t="s">
        <v>18</v>
      </c>
      <c r="D3" s="14">
        <v>5</v>
      </c>
      <c r="E3" s="14">
        <v>0.221</v>
      </c>
      <c r="F3" s="14" t="s">
        <v>19</v>
      </c>
      <c r="G3" s="14" t="s">
        <v>20</v>
      </c>
      <c r="H3" s="14" t="s">
        <v>15</v>
      </c>
      <c r="I3" s="14" t="s">
        <v>16</v>
      </c>
      <c r="J3" s="14" t="s">
        <v>16</v>
      </c>
    </row>
    <row r="4" spans="1:10" x14ac:dyDescent="0.3">
      <c r="A4" s="15" t="s">
        <v>21</v>
      </c>
      <c r="B4" s="15" t="s">
        <v>22</v>
      </c>
      <c r="C4" s="15" t="s">
        <v>23</v>
      </c>
      <c r="D4" s="15">
        <v>4</v>
      </c>
      <c r="E4" s="15">
        <v>0.55000000000000004</v>
      </c>
      <c r="F4" s="15" t="s">
        <v>267</v>
      </c>
      <c r="G4" s="15" t="s">
        <v>24</v>
      </c>
      <c r="H4" s="15" t="s">
        <v>268</v>
      </c>
      <c r="I4" s="15" t="s">
        <v>16</v>
      </c>
      <c r="J4" s="15" t="s">
        <v>16</v>
      </c>
    </row>
    <row r="5" spans="1:10" ht="75" x14ac:dyDescent="0.3">
      <c r="A5" s="14" t="s">
        <v>25</v>
      </c>
      <c r="B5" s="14" t="s">
        <v>26</v>
      </c>
      <c r="C5" s="14" t="s">
        <v>27</v>
      </c>
      <c r="D5" s="14">
        <v>5</v>
      </c>
      <c r="E5" s="16" t="s">
        <v>619</v>
      </c>
      <c r="F5" s="16" t="s">
        <v>620</v>
      </c>
      <c r="G5" s="14" t="s">
        <v>618</v>
      </c>
      <c r="H5" s="14" t="s">
        <v>578</v>
      </c>
      <c r="I5" s="14" t="s">
        <v>16</v>
      </c>
      <c r="J5" s="14" t="s">
        <v>16</v>
      </c>
    </row>
    <row r="6" spans="1:10" x14ac:dyDescent="0.3">
      <c r="A6" s="13" t="s">
        <v>28</v>
      </c>
      <c r="B6" s="13" t="s">
        <v>29</v>
      </c>
      <c r="C6" s="13" t="s">
        <v>30</v>
      </c>
      <c r="D6" s="13">
        <v>5</v>
      </c>
      <c r="E6" s="13">
        <v>3.4</v>
      </c>
      <c r="F6" s="13" t="s">
        <v>535</v>
      </c>
      <c r="G6" s="13" t="s">
        <v>536</v>
      </c>
      <c r="H6" s="13" t="s">
        <v>31</v>
      </c>
      <c r="I6" s="13" t="s">
        <v>16</v>
      </c>
      <c r="J6" s="13" t="s">
        <v>16</v>
      </c>
    </row>
    <row r="7" spans="1:10" x14ac:dyDescent="0.3">
      <c r="A7" s="14" t="s">
        <v>32</v>
      </c>
      <c r="B7" s="14" t="s">
        <v>29</v>
      </c>
      <c r="C7" s="14" t="s">
        <v>33</v>
      </c>
      <c r="D7" s="14">
        <v>5</v>
      </c>
      <c r="E7" s="14">
        <v>24</v>
      </c>
      <c r="F7" s="14" t="s">
        <v>332</v>
      </c>
      <c r="G7" s="14" t="s">
        <v>333</v>
      </c>
      <c r="H7" s="14" t="s">
        <v>31</v>
      </c>
      <c r="I7" s="14" t="s">
        <v>16</v>
      </c>
      <c r="J7" s="14" t="s">
        <v>16</v>
      </c>
    </row>
    <row r="8" spans="1:10" x14ac:dyDescent="0.3">
      <c r="A8" s="14" t="s">
        <v>34</v>
      </c>
      <c r="B8" s="14" t="s">
        <v>35</v>
      </c>
      <c r="C8" s="14" t="s">
        <v>36</v>
      </c>
      <c r="D8" s="14">
        <v>5</v>
      </c>
      <c r="E8" s="14">
        <v>6.66</v>
      </c>
      <c r="F8" s="14" t="s">
        <v>380</v>
      </c>
      <c r="G8" s="14" t="s">
        <v>381</v>
      </c>
      <c r="H8" s="14" t="s">
        <v>373</v>
      </c>
      <c r="I8" s="14" t="s">
        <v>16</v>
      </c>
      <c r="J8" s="14" t="s">
        <v>16</v>
      </c>
    </row>
    <row r="9" spans="1:10" x14ac:dyDescent="0.3">
      <c r="A9" s="14" t="s">
        <v>37</v>
      </c>
      <c r="B9" s="14" t="s">
        <v>38</v>
      </c>
      <c r="C9" s="14" t="s">
        <v>39</v>
      </c>
      <c r="D9" s="14">
        <v>6</v>
      </c>
      <c r="E9" s="14">
        <v>0</v>
      </c>
      <c r="F9" s="14" t="s">
        <v>413</v>
      </c>
      <c r="G9" s="14" t="s">
        <v>414</v>
      </c>
      <c r="H9" s="14" t="s">
        <v>415</v>
      </c>
      <c r="I9" s="14" t="s">
        <v>416</v>
      </c>
      <c r="J9" s="14" t="s">
        <v>16</v>
      </c>
    </row>
    <row r="10" spans="1:10" x14ac:dyDescent="0.3">
      <c r="A10" s="14" t="s">
        <v>40</v>
      </c>
      <c r="B10" s="14" t="s">
        <v>41</v>
      </c>
      <c r="C10" s="14" t="s">
        <v>42</v>
      </c>
      <c r="D10" s="13">
        <v>6</v>
      </c>
      <c r="E10" s="13">
        <v>0</v>
      </c>
      <c r="F10" s="13" t="s">
        <v>413</v>
      </c>
      <c r="G10" s="13" t="s">
        <v>483</v>
      </c>
      <c r="H10" s="13" t="s">
        <v>484</v>
      </c>
      <c r="I10" s="13" t="s">
        <v>416</v>
      </c>
      <c r="J10" s="13" t="s">
        <v>16</v>
      </c>
    </row>
  </sheetData>
  <autoFilter ref="A1:J10" xr:uid="{00000000-0009-0000-0000-000000000000}"/>
  <phoneticPr fontId="4" type="noConversion"/>
  <dataValidations count="2">
    <dataValidation type="list" sqref="A2:A10" xr:uid="{00000000-0002-0000-0000-000000000000}">
      <formula1>"P1,P2,P3,P4,P5,P6,P7,P8,P9"</formula1>
    </dataValidation>
    <dataValidation type="list" allowBlank="1" sqref="I2:J10" xr:uid="{00000000-0002-0000-0000-000001000000}">
      <formula1>"✓,–,n/a"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zoomScale="55" zoomScaleNormal="55" workbookViewId="0">
      <pane ySplit="1" topLeftCell="A2" activePane="bottomLeft" state="frozen"/>
      <selection pane="bottomLeft" activeCell="O17" sqref="O17"/>
    </sheetView>
  </sheetViews>
  <sheetFormatPr defaultRowHeight="15" x14ac:dyDescent="0.2"/>
  <cols>
    <col min="1" max="1" width="11.875" style="8" bestFit="1" customWidth="1"/>
    <col min="2" max="2" width="10.875" style="8" bestFit="1" customWidth="1"/>
    <col min="3" max="3" width="25.375" style="8" bestFit="1" customWidth="1"/>
    <col min="4" max="4" width="32" style="8" customWidth="1"/>
    <col min="5" max="5" width="35.125" style="8" customWidth="1"/>
    <col min="6" max="6" width="28.875" style="8" customWidth="1"/>
    <col min="7" max="7" width="26.625" style="8" bestFit="1" customWidth="1"/>
    <col min="8" max="8" width="32.625" style="8" bestFit="1" customWidth="1"/>
    <col min="9" max="9" width="15.875" style="8" bestFit="1" customWidth="1"/>
    <col min="10" max="10" width="17.75" style="8" bestFit="1" customWidth="1"/>
    <col min="11" max="11" width="33.875" style="8" customWidth="1"/>
    <col min="12" max="16384" width="9" style="8"/>
  </cols>
  <sheetData>
    <row r="1" spans="1:11" ht="15.75" x14ac:dyDescent="0.2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</row>
    <row r="2" spans="1:11" x14ac:dyDescent="0.2">
      <c r="A2" s="9" t="s">
        <v>10</v>
      </c>
      <c r="B2" s="9" t="s">
        <v>55</v>
      </c>
      <c r="C2" s="10">
        <v>1.073</v>
      </c>
      <c r="D2" s="9" t="s">
        <v>56</v>
      </c>
      <c r="E2" s="9" t="s">
        <v>57</v>
      </c>
      <c r="F2" s="10">
        <v>0</v>
      </c>
      <c r="G2" s="10">
        <v>0</v>
      </c>
      <c r="H2" s="10">
        <v>0</v>
      </c>
      <c r="I2" s="9" t="s">
        <v>58</v>
      </c>
      <c r="J2" s="9" t="s">
        <v>59</v>
      </c>
      <c r="K2" s="9" t="s">
        <v>60</v>
      </c>
    </row>
    <row r="3" spans="1:11" ht="30" x14ac:dyDescent="0.2">
      <c r="A3" s="11" t="s">
        <v>10</v>
      </c>
      <c r="B3" s="11" t="s">
        <v>61</v>
      </c>
      <c r="C3" s="12">
        <v>0.64200000000000002</v>
      </c>
      <c r="D3" s="11" t="s">
        <v>62</v>
      </c>
      <c r="E3" s="11" t="s">
        <v>63</v>
      </c>
      <c r="F3" s="12">
        <v>0.36099999999999999</v>
      </c>
      <c r="G3" s="12">
        <v>0</v>
      </c>
      <c r="H3" s="12" t="s">
        <v>642</v>
      </c>
      <c r="I3" s="11" t="s">
        <v>15</v>
      </c>
      <c r="J3" s="11" t="s">
        <v>628</v>
      </c>
      <c r="K3" s="11" t="s">
        <v>643</v>
      </c>
    </row>
    <row r="4" spans="1:11" x14ac:dyDescent="0.2">
      <c r="A4" s="11" t="s">
        <v>10</v>
      </c>
      <c r="B4" s="11" t="s">
        <v>64</v>
      </c>
      <c r="C4" s="12">
        <v>0.45800000000000002</v>
      </c>
      <c r="D4" s="11" t="s">
        <v>65</v>
      </c>
      <c r="E4" s="11" t="s">
        <v>66</v>
      </c>
      <c r="F4" s="12">
        <v>0.72199999999999998</v>
      </c>
      <c r="G4" s="12">
        <v>0</v>
      </c>
      <c r="H4" s="12" t="s">
        <v>644</v>
      </c>
      <c r="I4" s="11" t="s">
        <v>15</v>
      </c>
      <c r="J4" s="11" t="s">
        <v>628</v>
      </c>
      <c r="K4" s="11"/>
    </row>
    <row r="5" spans="1:11" x14ac:dyDescent="0.2">
      <c r="A5" s="11" t="s">
        <v>10</v>
      </c>
      <c r="B5" s="11" t="s">
        <v>67</v>
      </c>
      <c r="C5" s="12">
        <v>0.35599999999999998</v>
      </c>
      <c r="D5" s="11" t="s">
        <v>68</v>
      </c>
      <c r="E5" s="11" t="s">
        <v>69</v>
      </c>
      <c r="F5" s="12">
        <v>1.083</v>
      </c>
      <c r="G5" s="12">
        <v>0</v>
      </c>
      <c r="H5" s="12" t="s">
        <v>645</v>
      </c>
      <c r="I5" s="11" t="s">
        <v>15</v>
      </c>
      <c r="J5" s="11" t="s">
        <v>628</v>
      </c>
      <c r="K5" s="11"/>
    </row>
    <row r="6" spans="1:11" x14ac:dyDescent="0.2">
      <c r="A6" s="11" t="s">
        <v>10</v>
      </c>
      <c r="B6" s="11" t="s">
        <v>70</v>
      </c>
      <c r="C6" s="12">
        <v>0.29099999999999998</v>
      </c>
      <c r="D6" s="11" t="s">
        <v>71</v>
      </c>
      <c r="E6" s="11" t="s">
        <v>72</v>
      </c>
      <c r="F6" s="12">
        <v>1.444</v>
      </c>
      <c r="G6" s="12">
        <v>0</v>
      </c>
      <c r="H6" s="12" t="s">
        <v>646</v>
      </c>
      <c r="I6" s="11" t="s">
        <v>15</v>
      </c>
      <c r="J6" s="11" t="s">
        <v>628</v>
      </c>
      <c r="K6" s="11"/>
    </row>
    <row r="7" spans="1:11" x14ac:dyDescent="0.2">
      <c r="A7" s="9" t="s">
        <v>17</v>
      </c>
      <c r="B7" s="9" t="s">
        <v>55</v>
      </c>
      <c r="C7" s="10">
        <v>0.221</v>
      </c>
      <c r="D7" s="9" t="s">
        <v>73</v>
      </c>
      <c r="E7" s="9" t="s">
        <v>74</v>
      </c>
      <c r="F7" s="10">
        <v>0</v>
      </c>
      <c r="G7" s="10">
        <v>0</v>
      </c>
      <c r="H7" s="10">
        <v>0</v>
      </c>
      <c r="I7" s="9" t="s">
        <v>58</v>
      </c>
      <c r="J7" s="9" t="s">
        <v>59</v>
      </c>
      <c r="K7" s="9" t="s">
        <v>75</v>
      </c>
    </row>
    <row r="8" spans="1:11" x14ac:dyDescent="0.2">
      <c r="A8" s="11" t="s">
        <v>17</v>
      </c>
      <c r="B8" s="11" t="s">
        <v>61</v>
      </c>
      <c r="C8" s="12">
        <v>0.19400000000000001</v>
      </c>
      <c r="D8" s="11" t="s">
        <v>62</v>
      </c>
      <c r="E8" s="11" t="s">
        <v>76</v>
      </c>
      <c r="F8" s="12">
        <v>0.45300000000000001</v>
      </c>
      <c r="G8" s="12">
        <v>0</v>
      </c>
      <c r="H8" s="12" t="s">
        <v>77</v>
      </c>
      <c r="I8" s="11" t="s">
        <v>15</v>
      </c>
      <c r="J8" s="11" t="s">
        <v>78</v>
      </c>
      <c r="K8" s="11" t="s">
        <v>79</v>
      </c>
    </row>
    <row r="9" spans="1:11" x14ac:dyDescent="0.2">
      <c r="A9" s="11" t="s">
        <v>17</v>
      </c>
      <c r="B9" s="11" t="s">
        <v>64</v>
      </c>
      <c r="C9" s="12">
        <v>0.17299999999999999</v>
      </c>
      <c r="D9" s="11" t="s">
        <v>65</v>
      </c>
      <c r="E9" s="11" t="s">
        <v>80</v>
      </c>
      <c r="F9" s="12">
        <v>0.90500000000000003</v>
      </c>
      <c r="G9" s="12">
        <v>0</v>
      </c>
      <c r="H9" s="12" t="s">
        <v>81</v>
      </c>
      <c r="I9" s="11" t="s">
        <v>15</v>
      </c>
      <c r="J9" s="11" t="s">
        <v>78</v>
      </c>
      <c r="K9" s="11"/>
    </row>
    <row r="10" spans="1:11" x14ac:dyDescent="0.2">
      <c r="A10" s="11" t="s">
        <v>17</v>
      </c>
      <c r="B10" s="11" t="s">
        <v>67</v>
      </c>
      <c r="C10" s="12">
        <v>0.156</v>
      </c>
      <c r="D10" s="11" t="s">
        <v>68</v>
      </c>
      <c r="E10" s="11" t="s">
        <v>82</v>
      </c>
      <c r="F10" s="12">
        <v>1.3580000000000001</v>
      </c>
      <c r="G10" s="12">
        <v>0</v>
      </c>
      <c r="H10" s="12" t="s">
        <v>83</v>
      </c>
      <c r="I10" s="11" t="s">
        <v>15</v>
      </c>
      <c r="J10" s="11" t="s">
        <v>78</v>
      </c>
      <c r="K10" s="11"/>
    </row>
    <row r="11" spans="1:11" x14ac:dyDescent="0.2">
      <c r="A11" s="11" t="s">
        <v>17</v>
      </c>
      <c r="B11" s="11" t="s">
        <v>70</v>
      </c>
      <c r="C11" s="12">
        <v>0.14299999999999999</v>
      </c>
      <c r="D11" s="11" t="s">
        <v>71</v>
      </c>
      <c r="E11" s="11" t="s">
        <v>84</v>
      </c>
      <c r="F11" s="12">
        <v>1.81</v>
      </c>
      <c r="G11" s="12">
        <v>0</v>
      </c>
      <c r="H11" s="12" t="s">
        <v>85</v>
      </c>
      <c r="I11" s="11" t="s">
        <v>15</v>
      </c>
      <c r="J11" s="11" t="s">
        <v>78</v>
      </c>
      <c r="K11" s="11"/>
    </row>
    <row r="12" spans="1:11" ht="45" x14ac:dyDescent="0.2">
      <c r="A12" s="7" t="s">
        <v>21</v>
      </c>
      <c r="B12" s="7" t="s">
        <v>55</v>
      </c>
      <c r="C12" s="7">
        <v>0.55000000000000004</v>
      </c>
      <c r="D12" s="7" t="s">
        <v>269</v>
      </c>
      <c r="E12" s="7" t="s">
        <v>270</v>
      </c>
      <c r="F12" s="7">
        <v>0</v>
      </c>
      <c r="G12" s="7">
        <v>0</v>
      </c>
      <c r="H12" s="7">
        <v>0</v>
      </c>
      <c r="I12" s="7" t="s">
        <v>58</v>
      </c>
      <c r="J12" s="7" t="s">
        <v>59</v>
      </c>
      <c r="K12" s="7" t="s">
        <v>271</v>
      </c>
    </row>
    <row r="13" spans="1:11" ht="30" x14ac:dyDescent="0.2">
      <c r="A13" s="7" t="s">
        <v>21</v>
      </c>
      <c r="B13" s="7" t="s">
        <v>61</v>
      </c>
      <c r="C13" s="7">
        <v>0.63</v>
      </c>
      <c r="D13" s="7" t="s">
        <v>272</v>
      </c>
      <c r="E13" s="7" t="s">
        <v>273</v>
      </c>
      <c r="F13" s="7">
        <v>0.49</v>
      </c>
      <c r="G13" s="7">
        <v>0</v>
      </c>
      <c r="H13" s="7" t="s">
        <v>274</v>
      </c>
      <c r="I13" s="7" t="s">
        <v>268</v>
      </c>
      <c r="J13" s="7" t="s">
        <v>275</v>
      </c>
      <c r="K13" s="7" t="s">
        <v>276</v>
      </c>
    </row>
    <row r="14" spans="1:11" x14ac:dyDescent="0.2">
      <c r="A14" s="7" t="s">
        <v>21</v>
      </c>
      <c r="B14" s="7" t="s">
        <v>64</v>
      </c>
      <c r="C14" s="7">
        <v>0.7</v>
      </c>
      <c r="D14" s="7" t="s">
        <v>277</v>
      </c>
      <c r="E14" s="7" t="s">
        <v>278</v>
      </c>
      <c r="F14" s="7">
        <v>0.49</v>
      </c>
      <c r="G14" s="7">
        <v>0</v>
      </c>
      <c r="H14" s="7" t="s">
        <v>274</v>
      </c>
      <c r="I14" s="7" t="s">
        <v>268</v>
      </c>
      <c r="J14" s="7" t="s">
        <v>275</v>
      </c>
      <c r="K14" s="7" t="s">
        <v>279</v>
      </c>
    </row>
    <row r="15" spans="1:11" ht="38.25" customHeight="1" x14ac:dyDescent="0.2">
      <c r="A15" s="7" t="s">
        <v>21</v>
      </c>
      <c r="B15" s="7" t="s">
        <v>67</v>
      </c>
      <c r="C15" s="7">
        <v>0.77</v>
      </c>
      <c r="D15" s="7" t="s">
        <v>280</v>
      </c>
      <c r="E15" s="7" t="s">
        <v>281</v>
      </c>
      <c r="F15" s="7">
        <v>0.49</v>
      </c>
      <c r="G15" s="7">
        <v>0</v>
      </c>
      <c r="H15" s="7" t="s">
        <v>274</v>
      </c>
      <c r="I15" s="7" t="s">
        <v>268</v>
      </c>
      <c r="J15" s="7" t="s">
        <v>275</v>
      </c>
      <c r="K15" s="7" t="s">
        <v>658</v>
      </c>
    </row>
    <row r="16" spans="1:11" ht="52.5" customHeight="1" x14ac:dyDescent="0.2">
      <c r="A16" s="7" t="s">
        <v>25</v>
      </c>
      <c r="B16" s="7" t="s">
        <v>55</v>
      </c>
      <c r="C16" s="7" t="s">
        <v>572</v>
      </c>
      <c r="D16" s="7" t="s">
        <v>573</v>
      </c>
      <c r="E16" s="7" t="s">
        <v>574</v>
      </c>
      <c r="F16" s="7">
        <v>0</v>
      </c>
      <c r="G16" s="7">
        <v>0</v>
      </c>
      <c r="H16" s="7">
        <v>0</v>
      </c>
      <c r="I16" s="7" t="s">
        <v>58</v>
      </c>
      <c r="J16" s="7" t="s">
        <v>59</v>
      </c>
      <c r="K16" s="7" t="s">
        <v>659</v>
      </c>
    </row>
    <row r="17" spans="1:11" ht="47.25" x14ac:dyDescent="0.2">
      <c r="A17" s="7" t="s">
        <v>25</v>
      </c>
      <c r="B17" s="7" t="s">
        <v>61</v>
      </c>
      <c r="C17" s="7" t="s">
        <v>575</v>
      </c>
      <c r="D17" s="7" t="s">
        <v>576</v>
      </c>
      <c r="E17" s="7" t="s">
        <v>660</v>
      </c>
      <c r="F17" s="7">
        <v>3.9</v>
      </c>
      <c r="G17" s="7">
        <v>0</v>
      </c>
      <c r="H17" s="7" t="s">
        <v>577</v>
      </c>
      <c r="I17" s="7" t="s">
        <v>578</v>
      </c>
      <c r="J17" s="7" t="s">
        <v>579</v>
      </c>
      <c r="K17" s="7" t="s">
        <v>661</v>
      </c>
    </row>
    <row r="18" spans="1:11" ht="47.25" x14ac:dyDescent="0.2">
      <c r="A18" s="7" t="s">
        <v>25</v>
      </c>
      <c r="B18" s="7" t="s">
        <v>64</v>
      </c>
      <c r="C18" s="7" t="s">
        <v>580</v>
      </c>
      <c r="D18" s="7" t="s">
        <v>662</v>
      </c>
      <c r="E18" s="7" t="s">
        <v>663</v>
      </c>
      <c r="F18" s="7">
        <v>3.9</v>
      </c>
      <c r="G18" s="7">
        <v>0</v>
      </c>
      <c r="H18" s="7" t="s">
        <v>581</v>
      </c>
      <c r="I18" s="7" t="s">
        <v>578</v>
      </c>
      <c r="J18" s="7" t="s">
        <v>579</v>
      </c>
      <c r="K18" s="7" t="s">
        <v>582</v>
      </c>
    </row>
    <row r="19" spans="1:11" ht="32.25" x14ac:dyDescent="0.2">
      <c r="A19" s="7" t="s">
        <v>25</v>
      </c>
      <c r="B19" s="7" t="s">
        <v>67</v>
      </c>
      <c r="C19" s="7" t="s">
        <v>583</v>
      </c>
      <c r="D19" s="7" t="s">
        <v>584</v>
      </c>
      <c r="E19" s="7" t="s">
        <v>664</v>
      </c>
      <c r="F19" s="7">
        <v>3.9</v>
      </c>
      <c r="G19" s="7">
        <v>0</v>
      </c>
      <c r="H19" s="7" t="s">
        <v>585</v>
      </c>
      <c r="I19" s="7" t="s">
        <v>578</v>
      </c>
      <c r="J19" s="7" t="s">
        <v>579</v>
      </c>
      <c r="K19" s="7" t="s">
        <v>665</v>
      </c>
    </row>
    <row r="20" spans="1:11" ht="30" x14ac:dyDescent="0.2">
      <c r="A20" s="7" t="s">
        <v>25</v>
      </c>
      <c r="B20" s="7" t="s">
        <v>70</v>
      </c>
      <c r="C20" s="7" t="s">
        <v>586</v>
      </c>
      <c r="D20" s="7" t="s">
        <v>587</v>
      </c>
      <c r="E20" s="7" t="s">
        <v>666</v>
      </c>
      <c r="F20" s="7">
        <v>3.9</v>
      </c>
      <c r="G20" s="7">
        <v>0</v>
      </c>
      <c r="H20" s="7" t="s">
        <v>588</v>
      </c>
      <c r="I20" s="7" t="s">
        <v>578</v>
      </c>
      <c r="J20" s="7" t="s">
        <v>579</v>
      </c>
      <c r="K20" s="7" t="s">
        <v>589</v>
      </c>
    </row>
    <row r="21" spans="1:11" ht="63.75" x14ac:dyDescent="0.3">
      <c r="A21" s="8" t="s">
        <v>28</v>
      </c>
      <c r="B21" s="8" t="s">
        <v>55</v>
      </c>
      <c r="C21" s="8">
        <v>3.4</v>
      </c>
      <c r="D21" s="8" t="s">
        <v>667</v>
      </c>
      <c r="E21" s="8" t="s">
        <v>559</v>
      </c>
      <c r="F21" s="8">
        <v>0</v>
      </c>
      <c r="G21" s="8">
        <v>0</v>
      </c>
      <c r="H21" s="8">
        <v>0</v>
      </c>
      <c r="I21" s="8" t="s">
        <v>560</v>
      </c>
      <c r="J21" s="8" t="s">
        <v>59</v>
      </c>
      <c r="K21" s="8" t="s">
        <v>668</v>
      </c>
    </row>
    <row r="22" spans="1:11" ht="60" x14ac:dyDescent="0.2">
      <c r="A22" s="8" t="s">
        <v>28</v>
      </c>
      <c r="B22" s="8" t="s">
        <v>61</v>
      </c>
      <c r="C22" s="8">
        <v>3.65</v>
      </c>
      <c r="D22" s="8" t="s">
        <v>561</v>
      </c>
      <c r="E22" s="8" t="s">
        <v>669</v>
      </c>
      <c r="F22" s="8">
        <v>0</v>
      </c>
      <c r="G22" s="8">
        <v>0</v>
      </c>
      <c r="H22" s="8" t="s">
        <v>562</v>
      </c>
      <c r="I22" s="8" t="s">
        <v>560</v>
      </c>
      <c r="J22" s="8" t="s">
        <v>551</v>
      </c>
      <c r="K22" s="8" t="s">
        <v>563</v>
      </c>
    </row>
    <row r="23" spans="1:11" ht="32.25" x14ac:dyDescent="0.2">
      <c r="A23" s="8" t="s">
        <v>28</v>
      </c>
      <c r="B23" s="8" t="s">
        <v>64</v>
      </c>
      <c r="C23" s="8">
        <v>3.9</v>
      </c>
      <c r="D23" s="8" t="s">
        <v>564</v>
      </c>
      <c r="E23" s="8" t="s">
        <v>670</v>
      </c>
      <c r="F23" s="8">
        <v>0</v>
      </c>
      <c r="G23" s="8">
        <v>0</v>
      </c>
      <c r="H23" s="8" t="s">
        <v>565</v>
      </c>
      <c r="I23" s="8" t="s">
        <v>560</v>
      </c>
      <c r="J23" s="8" t="s">
        <v>551</v>
      </c>
      <c r="K23" s="8" t="s">
        <v>566</v>
      </c>
    </row>
    <row r="24" spans="1:11" ht="32.25" x14ac:dyDescent="0.2">
      <c r="A24" s="8" t="s">
        <v>28</v>
      </c>
      <c r="B24" s="8" t="s">
        <v>67</v>
      </c>
      <c r="C24" s="8">
        <v>4.1500000000000004</v>
      </c>
      <c r="D24" s="8" t="s">
        <v>567</v>
      </c>
      <c r="E24" s="8" t="s">
        <v>671</v>
      </c>
      <c r="F24" s="8">
        <v>0</v>
      </c>
      <c r="G24" s="8">
        <v>0</v>
      </c>
      <c r="H24" s="8" t="s">
        <v>568</v>
      </c>
      <c r="I24" s="8" t="s">
        <v>560</v>
      </c>
      <c r="J24" s="8" t="s">
        <v>551</v>
      </c>
      <c r="K24" s="8" t="s">
        <v>569</v>
      </c>
    </row>
    <row r="25" spans="1:11" ht="62.25" x14ac:dyDescent="0.2">
      <c r="A25" s="8" t="s">
        <v>28</v>
      </c>
      <c r="B25" s="8" t="s">
        <v>70</v>
      </c>
      <c r="C25" s="8">
        <v>4.4000000000000004</v>
      </c>
      <c r="D25" s="8" t="s">
        <v>570</v>
      </c>
      <c r="E25" s="8" t="s">
        <v>672</v>
      </c>
      <c r="F25" s="8">
        <v>0</v>
      </c>
      <c r="G25" s="8">
        <v>0</v>
      </c>
      <c r="H25" s="8" t="s">
        <v>571</v>
      </c>
      <c r="I25" s="8" t="s">
        <v>560</v>
      </c>
      <c r="J25" s="8" t="s">
        <v>551</v>
      </c>
      <c r="K25" s="8" t="s">
        <v>673</v>
      </c>
    </row>
    <row r="26" spans="1:11" ht="32.25" x14ac:dyDescent="0.3">
      <c r="A26" s="8" t="s">
        <v>32</v>
      </c>
      <c r="B26" s="8" t="s">
        <v>55</v>
      </c>
      <c r="C26" s="8">
        <v>24</v>
      </c>
      <c r="D26" s="8" t="s">
        <v>334</v>
      </c>
      <c r="E26" s="8" t="s">
        <v>335</v>
      </c>
      <c r="F26" s="8">
        <v>0</v>
      </c>
      <c r="G26" s="8">
        <v>0</v>
      </c>
      <c r="H26" s="8">
        <v>0</v>
      </c>
      <c r="I26" s="8" t="s">
        <v>31</v>
      </c>
      <c r="J26" s="8" t="s">
        <v>59</v>
      </c>
      <c r="K26" s="8" t="s">
        <v>674</v>
      </c>
    </row>
    <row r="27" spans="1:11" x14ac:dyDescent="0.2">
      <c r="A27" s="8" t="s">
        <v>32</v>
      </c>
      <c r="B27" s="8" t="s">
        <v>61</v>
      </c>
      <c r="C27" s="8">
        <v>24.5</v>
      </c>
      <c r="D27" s="8" t="s">
        <v>336</v>
      </c>
      <c r="E27" s="8" t="s">
        <v>337</v>
      </c>
      <c r="F27" s="8">
        <v>0</v>
      </c>
      <c r="G27" s="8">
        <v>0</v>
      </c>
      <c r="H27" s="8">
        <v>0</v>
      </c>
      <c r="I27" s="8" t="s">
        <v>31</v>
      </c>
      <c r="J27" s="8" t="s">
        <v>59</v>
      </c>
      <c r="K27" s="8" t="s">
        <v>338</v>
      </c>
    </row>
    <row r="28" spans="1:11" x14ac:dyDescent="0.2">
      <c r="A28" s="8" t="s">
        <v>32</v>
      </c>
      <c r="B28" s="8" t="s">
        <v>64</v>
      </c>
      <c r="C28" s="8">
        <v>25</v>
      </c>
      <c r="D28" s="8" t="s">
        <v>339</v>
      </c>
      <c r="E28" s="8" t="s">
        <v>340</v>
      </c>
      <c r="F28" s="8">
        <v>0</v>
      </c>
      <c r="G28" s="8">
        <v>0</v>
      </c>
      <c r="H28" s="8">
        <v>0</v>
      </c>
      <c r="I28" s="8" t="s">
        <v>31</v>
      </c>
      <c r="J28" s="8" t="s">
        <v>59</v>
      </c>
      <c r="K28" s="8" t="s">
        <v>338</v>
      </c>
    </row>
    <row r="29" spans="1:11" x14ac:dyDescent="0.2">
      <c r="A29" s="8" t="s">
        <v>32</v>
      </c>
      <c r="B29" s="8" t="s">
        <v>67</v>
      </c>
      <c r="C29" s="8">
        <v>25.5</v>
      </c>
      <c r="D29" s="8" t="s">
        <v>341</v>
      </c>
      <c r="E29" s="8" t="s">
        <v>342</v>
      </c>
      <c r="F29" s="8">
        <v>0</v>
      </c>
      <c r="G29" s="8">
        <v>0</v>
      </c>
      <c r="H29" s="8">
        <v>0</v>
      </c>
      <c r="I29" s="8" t="s">
        <v>31</v>
      </c>
      <c r="J29" s="8" t="s">
        <v>59</v>
      </c>
      <c r="K29" s="8" t="s">
        <v>338</v>
      </c>
    </row>
    <row r="30" spans="1:11" ht="32.25" x14ac:dyDescent="0.2">
      <c r="A30" s="8" t="s">
        <v>32</v>
      </c>
      <c r="B30" s="8" t="s">
        <v>70</v>
      </c>
      <c r="C30" s="8">
        <v>26</v>
      </c>
      <c r="D30" s="8" t="s">
        <v>343</v>
      </c>
      <c r="E30" s="8" t="s">
        <v>344</v>
      </c>
      <c r="F30" s="8">
        <v>0</v>
      </c>
      <c r="G30" s="8">
        <v>0</v>
      </c>
      <c r="H30" s="8">
        <v>0</v>
      </c>
      <c r="I30" s="8" t="s">
        <v>31</v>
      </c>
      <c r="J30" s="8" t="s">
        <v>59</v>
      </c>
      <c r="K30" s="8" t="s">
        <v>675</v>
      </c>
    </row>
    <row r="31" spans="1:11" ht="32.25" x14ac:dyDescent="0.2">
      <c r="A31" s="8" t="s">
        <v>34</v>
      </c>
      <c r="B31" s="8" t="s">
        <v>55</v>
      </c>
      <c r="C31" s="8">
        <v>6.66</v>
      </c>
      <c r="D31" s="8" t="s">
        <v>371</v>
      </c>
      <c r="E31" s="8" t="s">
        <v>382</v>
      </c>
      <c r="F31" s="8">
        <v>0</v>
      </c>
      <c r="G31" s="8">
        <v>0</v>
      </c>
      <c r="H31" s="8">
        <v>0</v>
      </c>
      <c r="I31" s="8" t="s">
        <v>58</v>
      </c>
      <c r="J31" s="8" t="s">
        <v>59</v>
      </c>
      <c r="K31" s="8" t="s">
        <v>676</v>
      </c>
    </row>
    <row r="32" spans="1:11" ht="30" x14ac:dyDescent="0.2">
      <c r="A32" s="8" t="s">
        <v>34</v>
      </c>
      <c r="B32" s="8" t="s">
        <v>61</v>
      </c>
      <c r="C32" s="8">
        <v>6</v>
      </c>
      <c r="D32" s="8" t="s">
        <v>383</v>
      </c>
      <c r="E32" s="8" t="s">
        <v>384</v>
      </c>
      <c r="F32" s="8">
        <v>8.3000000000000007</v>
      </c>
      <c r="G32" s="8">
        <v>0</v>
      </c>
      <c r="H32" s="8" t="s">
        <v>372</v>
      </c>
      <c r="I32" s="8" t="s">
        <v>373</v>
      </c>
      <c r="J32" s="8" t="s">
        <v>374</v>
      </c>
      <c r="K32" s="8" t="s">
        <v>385</v>
      </c>
    </row>
    <row r="33" spans="1:11" ht="30" x14ac:dyDescent="0.2">
      <c r="A33" s="8" t="s">
        <v>34</v>
      </c>
      <c r="B33" s="8" t="s">
        <v>64</v>
      </c>
      <c r="C33" s="8">
        <v>5.3</v>
      </c>
      <c r="D33" s="8" t="s">
        <v>383</v>
      </c>
      <c r="E33" s="8" t="s">
        <v>386</v>
      </c>
      <c r="F33" s="8">
        <v>8.3000000000000007</v>
      </c>
      <c r="G33" s="8">
        <v>0</v>
      </c>
      <c r="H33" s="8" t="s">
        <v>372</v>
      </c>
      <c r="I33" s="8" t="s">
        <v>373</v>
      </c>
      <c r="J33" s="8" t="s">
        <v>374</v>
      </c>
      <c r="K33" s="8" t="s">
        <v>79</v>
      </c>
    </row>
    <row r="34" spans="1:11" ht="30" x14ac:dyDescent="0.2">
      <c r="A34" s="8" t="s">
        <v>34</v>
      </c>
      <c r="B34" s="8" t="s">
        <v>67</v>
      </c>
      <c r="C34" s="8">
        <v>4.5999999999999996</v>
      </c>
      <c r="D34" s="8" t="s">
        <v>383</v>
      </c>
      <c r="E34" s="8" t="s">
        <v>387</v>
      </c>
      <c r="F34" s="8">
        <v>8.3000000000000007</v>
      </c>
      <c r="G34" s="8">
        <v>0</v>
      </c>
      <c r="H34" s="8" t="s">
        <v>372</v>
      </c>
      <c r="I34" s="8" t="s">
        <v>373</v>
      </c>
      <c r="J34" s="8" t="s">
        <v>374</v>
      </c>
      <c r="K34" s="8" t="s">
        <v>79</v>
      </c>
    </row>
    <row r="35" spans="1:11" ht="30" x14ac:dyDescent="0.2">
      <c r="A35" s="8" t="s">
        <v>34</v>
      </c>
      <c r="B35" s="8" t="s">
        <v>70</v>
      </c>
      <c r="C35" s="8">
        <v>4</v>
      </c>
      <c r="D35" s="8" t="s">
        <v>388</v>
      </c>
      <c r="E35" s="8" t="s">
        <v>389</v>
      </c>
      <c r="F35" s="8">
        <v>8.3000000000000007</v>
      </c>
      <c r="G35" s="8">
        <v>0</v>
      </c>
      <c r="H35" s="8" t="s">
        <v>372</v>
      </c>
      <c r="I35" s="8" t="s">
        <v>373</v>
      </c>
      <c r="J35" s="8" t="s">
        <v>374</v>
      </c>
      <c r="K35" s="8" t="s">
        <v>390</v>
      </c>
    </row>
    <row r="36" spans="1:11" ht="32.25" x14ac:dyDescent="0.3">
      <c r="A36" s="8" t="s">
        <v>37</v>
      </c>
      <c r="B36" s="8" t="s">
        <v>55</v>
      </c>
      <c r="C36" s="8" t="s">
        <v>417</v>
      </c>
      <c r="D36" s="8" t="s">
        <v>418</v>
      </c>
      <c r="E36" s="8" t="s">
        <v>419</v>
      </c>
      <c r="F36" s="8">
        <v>0</v>
      </c>
      <c r="G36" s="8">
        <v>0</v>
      </c>
      <c r="H36" s="8">
        <v>0</v>
      </c>
      <c r="I36" s="8" t="s">
        <v>58</v>
      </c>
      <c r="J36" s="8" t="s">
        <v>59</v>
      </c>
      <c r="K36" s="8" t="s">
        <v>677</v>
      </c>
    </row>
    <row r="37" spans="1:11" ht="49.5" x14ac:dyDescent="0.3">
      <c r="A37" s="8" t="s">
        <v>37</v>
      </c>
      <c r="B37" s="8" t="s">
        <v>61</v>
      </c>
      <c r="C37" s="8" t="s">
        <v>420</v>
      </c>
      <c r="D37" s="8" t="s">
        <v>421</v>
      </c>
      <c r="E37" s="8" t="s">
        <v>422</v>
      </c>
      <c r="F37" s="8">
        <v>3.7</v>
      </c>
      <c r="G37" s="8">
        <v>0.21</v>
      </c>
      <c r="H37" s="8" t="s">
        <v>423</v>
      </c>
      <c r="I37" s="8" t="s">
        <v>415</v>
      </c>
      <c r="J37" s="8" t="s">
        <v>424</v>
      </c>
      <c r="K37" s="8" t="s">
        <v>678</v>
      </c>
    </row>
    <row r="38" spans="1:11" ht="32.25" x14ac:dyDescent="0.2">
      <c r="A38" s="8" t="s">
        <v>37</v>
      </c>
      <c r="B38" s="8" t="s">
        <v>64</v>
      </c>
      <c r="C38" s="8" t="s">
        <v>425</v>
      </c>
      <c r="D38" s="8" t="s">
        <v>426</v>
      </c>
      <c r="E38" s="8" t="s">
        <v>427</v>
      </c>
      <c r="F38" s="8">
        <v>7.41</v>
      </c>
      <c r="G38" s="8">
        <v>0.42</v>
      </c>
      <c r="H38" s="8" t="s">
        <v>428</v>
      </c>
      <c r="I38" s="8" t="s">
        <v>415</v>
      </c>
      <c r="J38" s="8" t="s">
        <v>424</v>
      </c>
      <c r="K38" s="8" t="s">
        <v>679</v>
      </c>
    </row>
    <row r="39" spans="1:11" ht="30" x14ac:dyDescent="0.2">
      <c r="A39" s="8" t="s">
        <v>37</v>
      </c>
      <c r="B39" s="8" t="s">
        <v>67</v>
      </c>
      <c r="C39" s="8" t="s">
        <v>429</v>
      </c>
      <c r="D39" s="8" t="s">
        <v>430</v>
      </c>
      <c r="E39" s="8" t="s">
        <v>427</v>
      </c>
      <c r="F39" s="8">
        <v>11.11</v>
      </c>
      <c r="G39" s="8">
        <v>0.63</v>
      </c>
      <c r="H39" s="8" t="s">
        <v>431</v>
      </c>
      <c r="I39" s="8" t="s">
        <v>415</v>
      </c>
      <c r="J39" s="8" t="s">
        <v>424</v>
      </c>
    </row>
    <row r="40" spans="1:11" ht="32.25" x14ac:dyDescent="0.2">
      <c r="A40" s="8" t="s">
        <v>37</v>
      </c>
      <c r="B40" s="8" t="s">
        <v>70</v>
      </c>
      <c r="C40" s="8" t="s">
        <v>432</v>
      </c>
      <c r="D40" s="8" t="s">
        <v>433</v>
      </c>
      <c r="E40" s="8" t="s">
        <v>427</v>
      </c>
      <c r="F40" s="8">
        <v>14.81</v>
      </c>
      <c r="G40" s="8">
        <v>0.84</v>
      </c>
      <c r="H40" s="8" t="s">
        <v>434</v>
      </c>
      <c r="I40" s="8" t="s">
        <v>415</v>
      </c>
      <c r="J40" s="8" t="s">
        <v>424</v>
      </c>
      <c r="K40" s="8" t="s">
        <v>680</v>
      </c>
    </row>
    <row r="41" spans="1:11" ht="49.5" x14ac:dyDescent="0.3">
      <c r="A41" s="8" t="s">
        <v>37</v>
      </c>
      <c r="B41" s="8" t="s">
        <v>435</v>
      </c>
      <c r="C41" s="8" t="s">
        <v>436</v>
      </c>
      <c r="D41" s="8" t="s">
        <v>437</v>
      </c>
      <c r="E41" s="8" t="s">
        <v>427</v>
      </c>
      <c r="F41" s="8">
        <v>18.52</v>
      </c>
      <c r="G41" s="8">
        <v>1.05</v>
      </c>
      <c r="H41" s="8" t="s">
        <v>438</v>
      </c>
      <c r="I41" s="8" t="s">
        <v>415</v>
      </c>
      <c r="J41" s="8" t="s">
        <v>424</v>
      </c>
      <c r="K41" s="8" t="s">
        <v>681</v>
      </c>
    </row>
    <row r="42" spans="1:11" ht="30" x14ac:dyDescent="0.2">
      <c r="A42" s="8" t="s">
        <v>40</v>
      </c>
      <c r="B42" s="8" t="s">
        <v>55</v>
      </c>
      <c r="C42" s="8" t="s">
        <v>485</v>
      </c>
      <c r="D42" s="8" t="s">
        <v>486</v>
      </c>
      <c r="E42" s="8" t="s">
        <v>487</v>
      </c>
      <c r="F42" s="8">
        <v>0</v>
      </c>
      <c r="G42" s="8">
        <v>0</v>
      </c>
      <c r="H42" s="8">
        <v>0</v>
      </c>
      <c r="I42" s="8" t="s">
        <v>58</v>
      </c>
      <c r="J42" s="8" t="s">
        <v>59</v>
      </c>
      <c r="K42" s="8" t="s">
        <v>488</v>
      </c>
    </row>
    <row r="43" spans="1:11" ht="49.5" x14ac:dyDescent="0.3">
      <c r="A43" s="8" t="s">
        <v>40</v>
      </c>
      <c r="B43" s="8" t="s">
        <v>61</v>
      </c>
      <c r="C43" s="8" t="s">
        <v>489</v>
      </c>
      <c r="D43" s="8" t="s">
        <v>490</v>
      </c>
      <c r="E43" s="8" t="s">
        <v>491</v>
      </c>
      <c r="F43" s="8">
        <v>0.42</v>
      </c>
      <c r="G43" s="8">
        <v>0.42</v>
      </c>
      <c r="H43" s="8" t="s">
        <v>492</v>
      </c>
      <c r="I43" s="8" t="s">
        <v>484</v>
      </c>
      <c r="J43" s="8" t="s">
        <v>493</v>
      </c>
      <c r="K43" s="8" t="s">
        <v>682</v>
      </c>
    </row>
    <row r="44" spans="1:11" ht="47.25" x14ac:dyDescent="0.2">
      <c r="A44" s="8" t="s">
        <v>40</v>
      </c>
      <c r="B44" s="8" t="s">
        <v>64</v>
      </c>
      <c r="C44" s="8" t="s">
        <v>494</v>
      </c>
      <c r="D44" s="8" t="s">
        <v>495</v>
      </c>
      <c r="E44" s="8" t="s">
        <v>496</v>
      </c>
      <c r="F44" s="8">
        <v>0.84</v>
      </c>
      <c r="G44" s="8">
        <v>0.84</v>
      </c>
      <c r="H44" s="8" t="s">
        <v>497</v>
      </c>
      <c r="I44" s="8" t="s">
        <v>484</v>
      </c>
      <c r="J44" s="8" t="s">
        <v>493</v>
      </c>
      <c r="K44" s="8" t="s">
        <v>683</v>
      </c>
    </row>
    <row r="45" spans="1:11" ht="30" x14ac:dyDescent="0.2">
      <c r="A45" s="8" t="s">
        <v>40</v>
      </c>
      <c r="B45" s="8" t="s">
        <v>67</v>
      </c>
      <c r="C45" s="8" t="s">
        <v>498</v>
      </c>
      <c r="D45" s="8" t="s">
        <v>499</v>
      </c>
      <c r="E45" s="8" t="s">
        <v>496</v>
      </c>
      <c r="F45" s="8">
        <v>1.26</v>
      </c>
      <c r="G45" s="8">
        <v>1.26</v>
      </c>
      <c r="H45" s="8" t="s">
        <v>500</v>
      </c>
      <c r="I45" s="8" t="s">
        <v>484</v>
      </c>
      <c r="J45" s="8" t="s">
        <v>493</v>
      </c>
    </row>
    <row r="46" spans="1:11" ht="30" x14ac:dyDescent="0.2">
      <c r="A46" s="8" t="s">
        <v>40</v>
      </c>
      <c r="B46" s="8" t="s">
        <v>70</v>
      </c>
      <c r="C46" s="8" t="s">
        <v>501</v>
      </c>
      <c r="D46" s="8" t="s">
        <v>502</v>
      </c>
      <c r="E46" s="8" t="s">
        <v>496</v>
      </c>
      <c r="F46" s="8">
        <v>1.69</v>
      </c>
      <c r="G46" s="8">
        <v>1.69</v>
      </c>
      <c r="H46" s="8" t="s">
        <v>503</v>
      </c>
      <c r="I46" s="8" t="s">
        <v>484</v>
      </c>
      <c r="J46" s="8" t="s">
        <v>493</v>
      </c>
      <c r="K46" s="8" t="s">
        <v>504</v>
      </c>
    </row>
    <row r="47" spans="1:11" ht="49.5" x14ac:dyDescent="0.2">
      <c r="A47" s="8" t="s">
        <v>40</v>
      </c>
      <c r="B47" s="8" t="s">
        <v>435</v>
      </c>
      <c r="C47" s="8" t="s">
        <v>505</v>
      </c>
      <c r="D47" s="8" t="s">
        <v>506</v>
      </c>
      <c r="E47" s="8" t="s">
        <v>496</v>
      </c>
      <c r="F47" s="8">
        <v>2.11</v>
      </c>
      <c r="G47" s="8">
        <v>2.11</v>
      </c>
      <c r="H47" s="8" t="s">
        <v>507</v>
      </c>
      <c r="I47" s="8" t="s">
        <v>484</v>
      </c>
      <c r="J47" s="8" t="s">
        <v>493</v>
      </c>
      <c r="K47" s="8" t="s">
        <v>684</v>
      </c>
    </row>
  </sheetData>
  <autoFilter ref="A1:K11" xr:uid="{00000000-0009-0000-0000-000001000000}"/>
  <phoneticPr fontId="4" type="noConversion"/>
  <dataValidations count="2">
    <dataValidation type="list" sqref="A2:A11 A21:A196" xr:uid="{00000000-0002-0000-0100-000000000000}">
      <formula1>"P1,P2,P3,P4,P5,P6,P7,P8,P9"</formula1>
    </dataValidation>
    <dataValidation type="list" sqref="B2:B11 B21:B196" xr:uid="{00000000-0002-0000-0100-000001000000}">
      <formula1>"L0,L1,L2,L3,L4,L5"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zoomScale="85" zoomScaleNormal="85" workbookViewId="0">
      <pane ySplit="1" topLeftCell="A2" activePane="bottomLeft" state="frozen"/>
      <selection pane="bottomLeft" activeCell="H2" sqref="H2"/>
    </sheetView>
  </sheetViews>
  <sheetFormatPr defaultRowHeight="17.25" x14ac:dyDescent="0.3"/>
  <cols>
    <col min="1" max="1" width="8" style="17" customWidth="1"/>
    <col min="2" max="2" width="13" style="17" customWidth="1"/>
    <col min="3" max="3" width="24" style="17" customWidth="1"/>
    <col min="4" max="4" width="34" style="17" customWidth="1"/>
    <col min="5" max="5" width="22" style="17" customWidth="1"/>
    <col min="6" max="6" width="14" style="17" customWidth="1"/>
    <col min="7" max="7" width="9" style="17" customWidth="1"/>
    <col min="8" max="8" width="14" style="17" customWidth="1"/>
    <col min="9" max="9" width="11" style="17" customWidth="1"/>
    <col min="10" max="10" width="40" style="17" customWidth="1"/>
    <col min="11" max="11" width="16" style="17" customWidth="1"/>
    <col min="12" max="16384" width="9" style="17"/>
  </cols>
  <sheetData>
    <row r="1" spans="1:11" ht="30" customHeight="1" x14ac:dyDescent="0.3">
      <c r="A1" s="5" t="s">
        <v>86</v>
      </c>
      <c r="B1" s="5" t="s">
        <v>87</v>
      </c>
      <c r="C1" s="5" t="s">
        <v>88</v>
      </c>
      <c r="D1" s="5" t="s">
        <v>89</v>
      </c>
      <c r="E1" s="5" t="s">
        <v>90</v>
      </c>
      <c r="F1" s="5" t="s">
        <v>91</v>
      </c>
      <c r="G1" s="5" t="s">
        <v>92</v>
      </c>
      <c r="H1" s="5" t="s">
        <v>93</v>
      </c>
      <c r="I1" s="5" t="s">
        <v>94</v>
      </c>
      <c r="J1" s="5" t="s">
        <v>95</v>
      </c>
      <c r="K1" s="5" t="s">
        <v>96</v>
      </c>
    </row>
    <row r="2" spans="1:11" x14ac:dyDescent="0.3">
      <c r="A2" s="6" t="s">
        <v>15</v>
      </c>
      <c r="B2" s="6" t="s">
        <v>97</v>
      </c>
      <c r="C2" s="6" t="s">
        <v>98</v>
      </c>
      <c r="D2" s="6" t="s">
        <v>99</v>
      </c>
      <c r="E2" s="6" t="s">
        <v>100</v>
      </c>
      <c r="F2" s="6" t="s">
        <v>101</v>
      </c>
      <c r="G2" s="6" t="s">
        <v>102</v>
      </c>
      <c r="H2" s="18" t="s">
        <v>103</v>
      </c>
      <c r="I2" s="6"/>
      <c r="J2" s="18" t="s">
        <v>104</v>
      </c>
      <c r="K2" s="6" t="s">
        <v>105</v>
      </c>
    </row>
    <row r="3" spans="1:11" x14ac:dyDescent="0.3">
      <c r="A3" s="6" t="s">
        <v>106</v>
      </c>
      <c r="B3" s="6" t="s">
        <v>107</v>
      </c>
      <c r="C3" s="6" t="s">
        <v>108</v>
      </c>
      <c r="D3" s="6" t="s">
        <v>109</v>
      </c>
      <c r="E3" s="6" t="s">
        <v>110</v>
      </c>
      <c r="F3" s="6" t="s">
        <v>111</v>
      </c>
      <c r="G3" s="6" t="s">
        <v>112</v>
      </c>
      <c r="H3" s="6"/>
      <c r="I3" s="6" t="s">
        <v>113</v>
      </c>
      <c r="J3" s="6" t="s">
        <v>114</v>
      </c>
      <c r="K3" s="6" t="s">
        <v>115</v>
      </c>
    </row>
    <row r="4" spans="1:11" x14ac:dyDescent="0.3">
      <c r="A4" s="6" t="s">
        <v>116</v>
      </c>
      <c r="B4" s="6" t="s">
        <v>107</v>
      </c>
      <c r="C4" s="6" t="s">
        <v>117</v>
      </c>
      <c r="D4" s="6" t="s">
        <v>118</v>
      </c>
      <c r="E4" s="6" t="s">
        <v>119</v>
      </c>
      <c r="F4" s="6" t="s">
        <v>120</v>
      </c>
      <c r="G4" s="6" t="s">
        <v>102</v>
      </c>
      <c r="H4" s="6"/>
      <c r="I4" s="6" t="s">
        <v>113</v>
      </c>
      <c r="J4" s="6" t="s">
        <v>121</v>
      </c>
      <c r="K4" s="6" t="s">
        <v>122</v>
      </c>
    </row>
    <row r="5" spans="1:11" x14ac:dyDescent="0.3">
      <c r="A5" s="6" t="s">
        <v>123</v>
      </c>
      <c r="B5" s="6" t="s">
        <v>107</v>
      </c>
      <c r="C5" s="6" t="s">
        <v>124</v>
      </c>
      <c r="D5" s="6" t="s">
        <v>125</v>
      </c>
      <c r="E5" s="6" t="s">
        <v>126</v>
      </c>
      <c r="F5" s="6" t="s">
        <v>127</v>
      </c>
      <c r="G5" s="6"/>
      <c r="H5" s="6"/>
      <c r="I5" s="6" t="s">
        <v>113</v>
      </c>
      <c r="J5" s="6" t="s">
        <v>128</v>
      </c>
      <c r="K5" s="6" t="s">
        <v>122</v>
      </c>
    </row>
    <row r="6" spans="1:11" x14ac:dyDescent="0.3">
      <c r="A6" s="6" t="s">
        <v>78</v>
      </c>
      <c r="B6" s="6" t="s">
        <v>129</v>
      </c>
      <c r="C6" s="6" t="s">
        <v>130</v>
      </c>
      <c r="D6" s="6" t="s">
        <v>131</v>
      </c>
      <c r="E6" s="6" t="s">
        <v>132</v>
      </c>
      <c r="F6" s="6" t="s">
        <v>132</v>
      </c>
      <c r="G6" s="6" t="s">
        <v>133</v>
      </c>
      <c r="H6" s="6"/>
      <c r="I6" s="6" t="s">
        <v>113</v>
      </c>
      <c r="J6" s="6" t="s">
        <v>134</v>
      </c>
      <c r="K6" s="6" t="s">
        <v>17</v>
      </c>
    </row>
    <row r="7" spans="1:11" x14ac:dyDescent="0.3">
      <c r="A7" s="6" t="s">
        <v>135</v>
      </c>
      <c r="B7" s="6" t="s">
        <v>129</v>
      </c>
      <c r="C7" s="6" t="s">
        <v>136</v>
      </c>
      <c r="D7" s="6" t="s">
        <v>137</v>
      </c>
      <c r="E7" s="6" t="s">
        <v>138</v>
      </c>
      <c r="F7" s="6" t="s">
        <v>139</v>
      </c>
      <c r="G7" s="6" t="s">
        <v>140</v>
      </c>
      <c r="H7" s="6"/>
      <c r="I7" s="6" t="s">
        <v>113</v>
      </c>
      <c r="J7" s="6" t="s">
        <v>141</v>
      </c>
      <c r="K7" s="6" t="s">
        <v>17</v>
      </c>
    </row>
    <row r="8" spans="1:11" x14ac:dyDescent="0.3">
      <c r="A8" s="6" t="s">
        <v>142</v>
      </c>
      <c r="B8" s="6" t="s">
        <v>143</v>
      </c>
      <c r="C8" s="6" t="s">
        <v>144</v>
      </c>
      <c r="D8" s="6" t="s">
        <v>145</v>
      </c>
      <c r="E8" s="6" t="s">
        <v>144</v>
      </c>
      <c r="F8" s="6" t="s">
        <v>146</v>
      </c>
      <c r="G8" s="6" t="s">
        <v>147</v>
      </c>
      <c r="H8" s="6"/>
      <c r="I8" s="6"/>
      <c r="J8" s="6" t="s">
        <v>148</v>
      </c>
      <c r="K8" s="6" t="s">
        <v>149</v>
      </c>
    </row>
    <row r="9" spans="1:11" x14ac:dyDescent="0.3">
      <c r="A9" s="6" t="s">
        <v>150</v>
      </c>
      <c r="B9" s="6" t="s">
        <v>143</v>
      </c>
      <c r="C9" s="6" t="s">
        <v>151</v>
      </c>
      <c r="D9" s="6" t="s">
        <v>152</v>
      </c>
      <c r="E9" s="6" t="s">
        <v>153</v>
      </c>
      <c r="F9" s="6" t="s">
        <v>154</v>
      </c>
      <c r="G9" s="6" t="s">
        <v>112</v>
      </c>
      <c r="H9" s="6"/>
      <c r="I9" s="6"/>
      <c r="J9" s="6" t="s">
        <v>148</v>
      </c>
      <c r="K9" s="6" t="s">
        <v>155</v>
      </c>
    </row>
    <row r="10" spans="1:11" x14ac:dyDescent="0.3">
      <c r="A10" s="6" t="s">
        <v>156</v>
      </c>
      <c r="B10" s="6" t="s">
        <v>143</v>
      </c>
      <c r="C10" s="6" t="s">
        <v>157</v>
      </c>
      <c r="D10" s="6" t="s">
        <v>158</v>
      </c>
      <c r="E10" s="6" t="s">
        <v>159</v>
      </c>
      <c r="F10" s="6" t="s">
        <v>160</v>
      </c>
      <c r="G10" s="6"/>
      <c r="H10" s="6"/>
      <c r="I10" s="6"/>
      <c r="J10" s="6" t="s">
        <v>148</v>
      </c>
      <c r="K10" s="6" t="s">
        <v>161</v>
      </c>
    </row>
    <row r="11" spans="1:11" x14ac:dyDescent="0.3">
      <c r="A11" s="6" t="s">
        <v>162</v>
      </c>
      <c r="B11" s="6" t="s">
        <v>143</v>
      </c>
      <c r="C11" s="6" t="s">
        <v>163</v>
      </c>
      <c r="D11" s="6" t="s">
        <v>164</v>
      </c>
      <c r="E11" s="6" t="s">
        <v>165</v>
      </c>
      <c r="F11" s="6" t="s">
        <v>166</v>
      </c>
      <c r="G11" s="6" t="s">
        <v>167</v>
      </c>
      <c r="H11" s="6"/>
      <c r="I11" s="6"/>
      <c r="J11" s="6"/>
      <c r="K11" s="6" t="s">
        <v>168</v>
      </c>
    </row>
    <row r="12" spans="1:11" x14ac:dyDescent="0.3">
      <c r="A12" s="6" t="s">
        <v>169</v>
      </c>
      <c r="B12" s="6" t="s">
        <v>170</v>
      </c>
      <c r="C12" s="6" t="s">
        <v>171</v>
      </c>
      <c r="D12" s="6" t="s">
        <v>172</v>
      </c>
      <c r="E12" s="6" t="s">
        <v>173</v>
      </c>
      <c r="F12" s="6" t="s">
        <v>174</v>
      </c>
      <c r="G12" s="6"/>
      <c r="H12" s="6"/>
      <c r="I12" s="6"/>
      <c r="J12" s="6" t="s">
        <v>148</v>
      </c>
      <c r="K12" s="6" t="s">
        <v>175</v>
      </c>
    </row>
    <row r="13" spans="1:11" x14ac:dyDescent="0.3">
      <c r="A13" s="6" t="s">
        <v>176</v>
      </c>
      <c r="B13" s="6" t="s">
        <v>170</v>
      </c>
      <c r="C13" s="6" t="s">
        <v>177</v>
      </c>
      <c r="D13" s="6" t="s">
        <v>178</v>
      </c>
      <c r="E13" s="6" t="s">
        <v>179</v>
      </c>
      <c r="F13" s="6" t="s">
        <v>180</v>
      </c>
      <c r="G13" s="6"/>
      <c r="H13" s="6"/>
      <c r="I13" s="6"/>
      <c r="J13" s="6" t="s">
        <v>148</v>
      </c>
      <c r="K13" s="6" t="s">
        <v>181</v>
      </c>
    </row>
    <row r="14" spans="1:11" x14ac:dyDescent="0.3">
      <c r="A14" s="6" t="s">
        <v>182</v>
      </c>
      <c r="B14" s="6" t="s">
        <v>170</v>
      </c>
      <c r="C14" s="6" t="s">
        <v>183</v>
      </c>
      <c r="D14" s="6" t="s">
        <v>184</v>
      </c>
      <c r="E14" s="6" t="s">
        <v>185</v>
      </c>
      <c r="F14" s="6" t="s">
        <v>186</v>
      </c>
      <c r="G14" s="6"/>
      <c r="H14" s="6"/>
      <c r="I14" s="6"/>
      <c r="J14" s="6" t="s">
        <v>148</v>
      </c>
      <c r="K14" s="6" t="s">
        <v>187</v>
      </c>
    </row>
    <row r="15" spans="1:11" x14ac:dyDescent="0.3">
      <c r="A15" s="6" t="s">
        <v>188</v>
      </c>
      <c r="B15" s="6" t="s">
        <v>170</v>
      </c>
      <c r="C15" s="6" t="s">
        <v>189</v>
      </c>
      <c r="D15" s="6" t="s">
        <v>190</v>
      </c>
      <c r="E15" s="6" t="s">
        <v>191</v>
      </c>
      <c r="F15" s="6" t="s">
        <v>59</v>
      </c>
      <c r="G15" s="6" t="s">
        <v>192</v>
      </c>
      <c r="H15" s="6"/>
      <c r="I15" s="6"/>
      <c r="J15" s="6"/>
      <c r="K15" s="6" t="s">
        <v>193</v>
      </c>
    </row>
    <row r="16" spans="1:11" ht="51.75" x14ac:dyDescent="0.3">
      <c r="A16" s="19" t="s">
        <v>268</v>
      </c>
      <c r="B16" s="19" t="s">
        <v>97</v>
      </c>
      <c r="C16" s="19" t="s">
        <v>282</v>
      </c>
      <c r="D16" s="19" t="s">
        <v>283</v>
      </c>
      <c r="E16" s="19" t="s">
        <v>284</v>
      </c>
      <c r="F16" s="19" t="s">
        <v>285</v>
      </c>
      <c r="G16" s="20">
        <v>45264</v>
      </c>
      <c r="H16" s="19" t="s">
        <v>286</v>
      </c>
      <c r="I16" s="19" t="s">
        <v>113</v>
      </c>
      <c r="J16" s="19" t="s">
        <v>287</v>
      </c>
      <c r="K16" s="19" t="s">
        <v>21</v>
      </c>
    </row>
    <row r="17" spans="1:11" ht="34.5" x14ac:dyDescent="0.3">
      <c r="A17" s="19" t="s">
        <v>288</v>
      </c>
      <c r="B17" s="19" t="s">
        <v>107</v>
      </c>
      <c r="C17" s="19" t="s">
        <v>289</v>
      </c>
      <c r="D17" s="19" t="s">
        <v>290</v>
      </c>
      <c r="E17" s="19" t="s">
        <v>291</v>
      </c>
      <c r="F17" s="19" t="s">
        <v>292</v>
      </c>
      <c r="G17" s="20">
        <v>45292</v>
      </c>
      <c r="H17" s="19" t="s">
        <v>293</v>
      </c>
      <c r="I17" s="19" t="s">
        <v>113</v>
      </c>
      <c r="J17" s="19" t="s">
        <v>294</v>
      </c>
      <c r="K17" s="19" t="s">
        <v>295</v>
      </c>
    </row>
    <row r="18" spans="1:11" ht="34.5" x14ac:dyDescent="0.3">
      <c r="A18" s="19" t="s">
        <v>275</v>
      </c>
      <c r="B18" s="19" t="s">
        <v>129</v>
      </c>
      <c r="C18" s="19" t="s">
        <v>296</v>
      </c>
      <c r="D18" s="19" t="s">
        <v>297</v>
      </c>
      <c r="E18" s="19" t="s">
        <v>298</v>
      </c>
      <c r="F18" s="19" t="s">
        <v>299</v>
      </c>
      <c r="G18" s="19" t="s">
        <v>300</v>
      </c>
      <c r="H18" s="19" t="s">
        <v>59</v>
      </c>
      <c r="I18" s="19" t="s">
        <v>113</v>
      </c>
      <c r="J18" s="19" t="s">
        <v>301</v>
      </c>
      <c r="K18" s="19" t="s">
        <v>21</v>
      </c>
    </row>
    <row r="19" spans="1:11" ht="34.5" x14ac:dyDescent="0.3">
      <c r="A19" s="19" t="s">
        <v>302</v>
      </c>
      <c r="B19" s="19" t="s">
        <v>143</v>
      </c>
      <c r="C19" s="19" t="s">
        <v>303</v>
      </c>
      <c r="D19" s="19" t="s">
        <v>304</v>
      </c>
      <c r="E19" s="19" t="s">
        <v>305</v>
      </c>
      <c r="F19" s="19" t="s">
        <v>306</v>
      </c>
      <c r="G19" s="19">
        <v>2019</v>
      </c>
      <c r="H19" s="19" t="s">
        <v>59</v>
      </c>
      <c r="I19" s="19" t="s">
        <v>113</v>
      </c>
      <c r="J19" s="19" t="s">
        <v>307</v>
      </c>
      <c r="K19" s="19" t="s">
        <v>308</v>
      </c>
    </row>
    <row r="20" spans="1:11" ht="51.75" x14ac:dyDescent="0.3">
      <c r="A20" s="19" t="s">
        <v>309</v>
      </c>
      <c r="B20" s="19" t="s">
        <v>143</v>
      </c>
      <c r="C20" s="19" t="s">
        <v>310</v>
      </c>
      <c r="D20" s="19" t="s">
        <v>311</v>
      </c>
      <c r="E20" s="19" t="s">
        <v>312</v>
      </c>
      <c r="F20" s="19" t="s">
        <v>313</v>
      </c>
      <c r="G20" s="19">
        <v>2026</v>
      </c>
      <c r="H20" s="19" t="s">
        <v>59</v>
      </c>
      <c r="I20" s="19" t="s">
        <v>113</v>
      </c>
      <c r="J20" s="19" t="s">
        <v>314</v>
      </c>
      <c r="K20" s="19" t="s">
        <v>315</v>
      </c>
    </row>
    <row r="21" spans="1:11" x14ac:dyDescent="0.3">
      <c r="A21" s="17" t="s">
        <v>345</v>
      </c>
      <c r="B21" s="17" t="s">
        <v>143</v>
      </c>
      <c r="C21" s="17" t="s">
        <v>685</v>
      </c>
      <c r="D21" s="17" t="s">
        <v>346</v>
      </c>
      <c r="E21" s="17" t="s">
        <v>347</v>
      </c>
      <c r="F21" s="17" t="s">
        <v>306</v>
      </c>
      <c r="G21" s="17">
        <v>2017</v>
      </c>
      <c r="I21" s="17" t="s">
        <v>113</v>
      </c>
      <c r="J21" s="17" t="s">
        <v>348</v>
      </c>
      <c r="K21" s="17" t="s">
        <v>349</v>
      </c>
    </row>
    <row r="22" spans="1:11" x14ac:dyDescent="0.3">
      <c r="A22" s="17" t="s">
        <v>373</v>
      </c>
      <c r="B22" s="17" t="s">
        <v>97</v>
      </c>
      <c r="C22" s="17" t="s">
        <v>391</v>
      </c>
      <c r="D22" s="17" t="s">
        <v>392</v>
      </c>
      <c r="E22" s="17" t="s">
        <v>375</v>
      </c>
      <c r="F22" s="17" t="s">
        <v>393</v>
      </c>
      <c r="G22" s="21">
        <v>46113</v>
      </c>
      <c r="H22" s="21">
        <v>47939</v>
      </c>
      <c r="I22" s="17" t="s">
        <v>113</v>
      </c>
      <c r="J22" s="17" t="s">
        <v>394</v>
      </c>
      <c r="K22" s="17" t="s">
        <v>34</v>
      </c>
    </row>
    <row r="23" spans="1:11" x14ac:dyDescent="0.3">
      <c r="A23" s="17" t="s">
        <v>374</v>
      </c>
      <c r="B23" s="17" t="s">
        <v>129</v>
      </c>
      <c r="C23" s="17" t="s">
        <v>395</v>
      </c>
      <c r="D23" s="17" t="s">
        <v>396</v>
      </c>
      <c r="E23" s="17" t="s">
        <v>376</v>
      </c>
      <c r="F23" s="17" t="s">
        <v>397</v>
      </c>
      <c r="G23" s="21">
        <v>46023</v>
      </c>
      <c r="H23" s="17" t="s">
        <v>59</v>
      </c>
      <c r="I23" s="17" t="s">
        <v>113</v>
      </c>
      <c r="J23" s="17" t="s">
        <v>398</v>
      </c>
      <c r="K23" s="17" t="s">
        <v>34</v>
      </c>
    </row>
    <row r="24" spans="1:11" x14ac:dyDescent="0.3">
      <c r="A24" s="17" t="s">
        <v>377</v>
      </c>
      <c r="B24" s="17" t="s">
        <v>129</v>
      </c>
      <c r="C24" s="17" t="s">
        <v>399</v>
      </c>
      <c r="D24" s="17" t="s">
        <v>400</v>
      </c>
      <c r="E24" s="17" t="s">
        <v>401</v>
      </c>
      <c r="F24" s="17" t="s">
        <v>402</v>
      </c>
      <c r="G24" s="21">
        <v>46113</v>
      </c>
      <c r="H24" s="17" t="s">
        <v>59</v>
      </c>
      <c r="I24" s="17" t="s">
        <v>113</v>
      </c>
      <c r="J24" s="17" t="s">
        <v>403</v>
      </c>
      <c r="K24" s="17" t="s">
        <v>404</v>
      </c>
    </row>
    <row r="25" spans="1:11" x14ac:dyDescent="0.3">
      <c r="A25" s="17" t="s">
        <v>378</v>
      </c>
      <c r="B25" s="17" t="s">
        <v>170</v>
      </c>
      <c r="C25" s="17" t="s">
        <v>379</v>
      </c>
      <c r="D25" s="17" t="s">
        <v>405</v>
      </c>
      <c r="E25" s="17" t="s">
        <v>406</v>
      </c>
      <c r="F25" s="17" t="s">
        <v>59</v>
      </c>
      <c r="G25" s="17" t="s">
        <v>59</v>
      </c>
      <c r="H25" s="17" t="s">
        <v>59</v>
      </c>
      <c r="I25" s="17" t="s">
        <v>113</v>
      </c>
      <c r="J25" s="17" t="s">
        <v>59</v>
      </c>
      <c r="K25" s="17" t="s">
        <v>34</v>
      </c>
    </row>
    <row r="26" spans="1:11" x14ac:dyDescent="0.3">
      <c r="A26" s="17" t="s">
        <v>415</v>
      </c>
      <c r="B26" s="17" t="s">
        <v>439</v>
      </c>
      <c r="C26" s="17" t="s">
        <v>440</v>
      </c>
      <c r="D26" s="17" t="s">
        <v>441</v>
      </c>
      <c r="E26" s="17" t="s">
        <v>442</v>
      </c>
      <c r="F26" s="17" t="s">
        <v>443</v>
      </c>
      <c r="G26" s="17" t="s">
        <v>444</v>
      </c>
      <c r="H26" s="17" t="s">
        <v>59</v>
      </c>
      <c r="I26" s="17" t="s">
        <v>445</v>
      </c>
      <c r="J26" s="17" t="s">
        <v>446</v>
      </c>
      <c r="K26" s="17" t="s">
        <v>37</v>
      </c>
    </row>
    <row r="27" spans="1:11" x14ac:dyDescent="0.3">
      <c r="A27" s="17" t="s">
        <v>447</v>
      </c>
      <c r="B27" s="17" t="s">
        <v>448</v>
      </c>
      <c r="C27" s="17" t="s">
        <v>449</v>
      </c>
      <c r="D27" s="17" t="s">
        <v>450</v>
      </c>
      <c r="E27" s="17" t="s">
        <v>451</v>
      </c>
      <c r="F27" s="17" t="s">
        <v>452</v>
      </c>
      <c r="G27" s="17">
        <v>2023</v>
      </c>
      <c r="H27" s="17" t="s">
        <v>59</v>
      </c>
      <c r="I27" s="17" t="s">
        <v>445</v>
      </c>
      <c r="J27" s="17" t="s">
        <v>453</v>
      </c>
      <c r="K27" s="17" t="s">
        <v>454</v>
      </c>
    </row>
    <row r="28" spans="1:11" x14ac:dyDescent="0.3">
      <c r="A28" s="17" t="s">
        <v>455</v>
      </c>
      <c r="B28" s="17" t="s">
        <v>107</v>
      </c>
      <c r="C28" s="17" t="s">
        <v>456</v>
      </c>
      <c r="D28" s="17" t="s">
        <v>457</v>
      </c>
      <c r="E28" s="17" t="s">
        <v>458</v>
      </c>
      <c r="F28" s="17" t="s">
        <v>459</v>
      </c>
      <c r="G28" s="17" t="s">
        <v>460</v>
      </c>
      <c r="H28" s="17" t="s">
        <v>59</v>
      </c>
      <c r="I28" s="17" t="s">
        <v>445</v>
      </c>
      <c r="J28" s="17" t="s">
        <v>461</v>
      </c>
      <c r="K28" s="17" t="s">
        <v>462</v>
      </c>
    </row>
    <row r="29" spans="1:11" x14ac:dyDescent="0.3">
      <c r="A29" s="17" t="s">
        <v>424</v>
      </c>
      <c r="B29" s="17" t="s">
        <v>129</v>
      </c>
      <c r="C29" s="17" t="s">
        <v>463</v>
      </c>
      <c r="D29" s="17" t="s">
        <v>464</v>
      </c>
      <c r="E29" s="17" t="s">
        <v>465</v>
      </c>
      <c r="F29" s="17" t="s">
        <v>466</v>
      </c>
      <c r="G29" s="21">
        <v>46174</v>
      </c>
      <c r="H29" s="17" t="s">
        <v>59</v>
      </c>
      <c r="I29" s="17" t="s">
        <v>445</v>
      </c>
      <c r="J29" s="17" t="s">
        <v>467</v>
      </c>
      <c r="K29" s="17" t="s">
        <v>37</v>
      </c>
    </row>
    <row r="30" spans="1:11" x14ac:dyDescent="0.3">
      <c r="A30" s="17" t="s">
        <v>468</v>
      </c>
      <c r="B30" s="17" t="s">
        <v>170</v>
      </c>
      <c r="C30" s="17" t="s">
        <v>469</v>
      </c>
      <c r="D30" s="17" t="s">
        <v>470</v>
      </c>
      <c r="E30" s="17" t="s">
        <v>471</v>
      </c>
      <c r="F30" s="17" t="s">
        <v>472</v>
      </c>
      <c r="G30" s="17">
        <v>2026</v>
      </c>
      <c r="H30" s="17" t="s">
        <v>59</v>
      </c>
      <c r="I30" s="17" t="s">
        <v>445</v>
      </c>
      <c r="J30" s="17" t="s">
        <v>473</v>
      </c>
      <c r="K30" s="17" t="s">
        <v>474</v>
      </c>
    </row>
    <row r="31" spans="1:11" x14ac:dyDescent="0.3">
      <c r="A31" s="17" t="s">
        <v>475</v>
      </c>
      <c r="B31" s="17" t="s">
        <v>143</v>
      </c>
      <c r="C31" s="17" t="s">
        <v>476</v>
      </c>
      <c r="D31" s="17" t="s">
        <v>477</v>
      </c>
      <c r="E31" s="17" t="s">
        <v>478</v>
      </c>
      <c r="F31" s="17" t="s">
        <v>479</v>
      </c>
      <c r="G31" s="17" t="s">
        <v>480</v>
      </c>
      <c r="H31" s="17" t="s">
        <v>59</v>
      </c>
      <c r="I31" s="17" t="s">
        <v>445</v>
      </c>
      <c r="J31" s="17" t="s">
        <v>481</v>
      </c>
      <c r="K31" s="17" t="s">
        <v>482</v>
      </c>
    </row>
    <row r="32" spans="1:11" x14ac:dyDescent="0.3">
      <c r="A32" s="17" t="s">
        <v>484</v>
      </c>
      <c r="B32" s="17" t="s">
        <v>439</v>
      </c>
      <c r="C32" s="17" t="s">
        <v>508</v>
      </c>
      <c r="D32" s="17" t="s">
        <v>509</v>
      </c>
      <c r="E32" s="17" t="s">
        <v>510</v>
      </c>
      <c r="F32" s="17" t="s">
        <v>511</v>
      </c>
      <c r="G32" s="17">
        <v>2024</v>
      </c>
      <c r="H32" s="17" t="s">
        <v>59</v>
      </c>
      <c r="I32" s="17" t="s">
        <v>445</v>
      </c>
      <c r="J32" s="17" t="s">
        <v>534</v>
      </c>
      <c r="K32" s="17" t="s">
        <v>40</v>
      </c>
    </row>
    <row r="33" spans="1:11" x14ac:dyDescent="0.3">
      <c r="A33" s="17" t="s">
        <v>512</v>
      </c>
      <c r="B33" s="17" t="s">
        <v>107</v>
      </c>
      <c r="C33" s="17" t="s">
        <v>513</v>
      </c>
      <c r="D33" s="17" t="s">
        <v>514</v>
      </c>
      <c r="E33" s="17" t="s">
        <v>515</v>
      </c>
      <c r="F33" s="17" t="s">
        <v>516</v>
      </c>
      <c r="G33" s="17" t="s">
        <v>517</v>
      </c>
      <c r="H33" s="17" t="s">
        <v>59</v>
      </c>
      <c r="I33" s="17" t="s">
        <v>445</v>
      </c>
      <c r="J33" s="17" t="s">
        <v>518</v>
      </c>
      <c r="K33" s="17" t="s">
        <v>519</v>
      </c>
    </row>
    <row r="34" spans="1:11" x14ac:dyDescent="0.3">
      <c r="A34" s="17" t="s">
        <v>493</v>
      </c>
      <c r="B34" s="17" t="s">
        <v>129</v>
      </c>
      <c r="C34" s="17" t="s">
        <v>520</v>
      </c>
      <c r="D34" s="17" t="s">
        <v>521</v>
      </c>
      <c r="E34" s="17" t="s">
        <v>522</v>
      </c>
      <c r="F34" s="17" t="s">
        <v>523</v>
      </c>
      <c r="G34" s="17" t="s">
        <v>524</v>
      </c>
      <c r="H34" s="17" t="s">
        <v>59</v>
      </c>
      <c r="I34" s="17" t="s">
        <v>445</v>
      </c>
      <c r="J34" s="17" t="s">
        <v>525</v>
      </c>
      <c r="K34" s="17" t="s">
        <v>40</v>
      </c>
    </row>
    <row r="35" spans="1:11" x14ac:dyDescent="0.3">
      <c r="A35" s="17" t="s">
        <v>526</v>
      </c>
      <c r="B35" s="17" t="s">
        <v>170</v>
      </c>
      <c r="C35" s="17" t="s">
        <v>527</v>
      </c>
      <c r="D35" s="17" t="s">
        <v>528</v>
      </c>
      <c r="E35" s="17" t="s">
        <v>529</v>
      </c>
      <c r="F35" s="17" t="s">
        <v>530</v>
      </c>
      <c r="G35" s="17">
        <v>2026</v>
      </c>
      <c r="H35" s="17" t="s">
        <v>59</v>
      </c>
      <c r="I35" s="17" t="s">
        <v>445</v>
      </c>
      <c r="J35" s="17" t="s">
        <v>148</v>
      </c>
      <c r="K35" s="17" t="s">
        <v>531</v>
      </c>
    </row>
    <row r="36" spans="1:11" x14ac:dyDescent="0.3">
      <c r="A36" s="17" t="s">
        <v>532</v>
      </c>
      <c r="B36" s="17" t="s">
        <v>533</v>
      </c>
      <c r="C36" s="17" t="s">
        <v>621</v>
      </c>
      <c r="D36" s="17" t="s">
        <v>622</v>
      </c>
      <c r="E36" s="17" t="s">
        <v>623</v>
      </c>
      <c r="F36" s="17" t="s">
        <v>624</v>
      </c>
      <c r="G36" s="17" t="s">
        <v>625</v>
      </c>
      <c r="H36" s="17" t="s">
        <v>59</v>
      </c>
      <c r="I36" s="17" t="s">
        <v>445</v>
      </c>
      <c r="J36" s="17" t="s">
        <v>626</v>
      </c>
      <c r="K36" s="17" t="s">
        <v>627</v>
      </c>
    </row>
    <row r="37" spans="1:11" x14ac:dyDescent="0.3">
      <c r="A37" s="17" t="s">
        <v>537</v>
      </c>
      <c r="B37" s="17" t="s">
        <v>170</v>
      </c>
      <c r="C37" s="17" t="s">
        <v>538</v>
      </c>
      <c r="D37" s="17" t="s">
        <v>539</v>
      </c>
      <c r="E37" s="17" t="s">
        <v>540</v>
      </c>
      <c r="F37" s="17" t="s">
        <v>180</v>
      </c>
      <c r="I37" s="17" t="s">
        <v>445</v>
      </c>
      <c r="J37" s="17" t="s">
        <v>148</v>
      </c>
      <c r="K37" s="17" t="s">
        <v>541</v>
      </c>
    </row>
    <row r="38" spans="1:11" x14ac:dyDescent="0.3">
      <c r="A38" s="17" t="s">
        <v>542</v>
      </c>
      <c r="B38" s="17" t="s">
        <v>543</v>
      </c>
      <c r="C38" s="17" t="s">
        <v>544</v>
      </c>
      <c r="D38" s="17" t="s">
        <v>545</v>
      </c>
      <c r="E38" s="17" t="s">
        <v>546</v>
      </c>
      <c r="F38" s="17" t="s">
        <v>547</v>
      </c>
      <c r="G38" s="17" t="s">
        <v>548</v>
      </c>
      <c r="H38" s="17" t="s">
        <v>59</v>
      </c>
      <c r="I38" s="17" t="s">
        <v>445</v>
      </c>
      <c r="J38" s="17" t="s">
        <v>549</v>
      </c>
      <c r="K38" s="17" t="s">
        <v>550</v>
      </c>
    </row>
    <row r="39" spans="1:11" x14ac:dyDescent="0.3">
      <c r="A39" s="17" t="s">
        <v>551</v>
      </c>
      <c r="B39" s="17" t="s">
        <v>129</v>
      </c>
      <c r="C39" s="17" t="s">
        <v>552</v>
      </c>
      <c r="D39" s="17" t="s">
        <v>553</v>
      </c>
      <c r="E39" s="17" t="s">
        <v>554</v>
      </c>
      <c r="F39" s="17" t="s">
        <v>555</v>
      </c>
      <c r="G39" s="17" t="s">
        <v>556</v>
      </c>
      <c r="H39" s="17" t="s">
        <v>59</v>
      </c>
      <c r="I39" s="17" t="s">
        <v>445</v>
      </c>
      <c r="J39" s="17" t="s">
        <v>557</v>
      </c>
      <c r="K39" s="17" t="s">
        <v>558</v>
      </c>
    </row>
    <row r="40" spans="1:11" x14ac:dyDescent="0.3">
      <c r="A40" s="17" t="s">
        <v>578</v>
      </c>
      <c r="B40" s="17" t="s">
        <v>590</v>
      </c>
      <c r="C40" s="17" t="s">
        <v>591</v>
      </c>
      <c r="D40" s="17" t="s">
        <v>592</v>
      </c>
      <c r="E40" s="17" t="s">
        <v>593</v>
      </c>
      <c r="F40" s="17" t="s">
        <v>594</v>
      </c>
      <c r="G40" s="17">
        <v>2024</v>
      </c>
      <c r="H40" s="17" t="s">
        <v>59</v>
      </c>
      <c r="I40" s="17" t="s">
        <v>445</v>
      </c>
      <c r="J40" s="17" t="s">
        <v>595</v>
      </c>
      <c r="K40" s="17" t="s">
        <v>596</v>
      </c>
    </row>
    <row r="41" spans="1:11" x14ac:dyDescent="0.3">
      <c r="A41" s="17" t="s">
        <v>597</v>
      </c>
      <c r="B41" s="17" t="s">
        <v>598</v>
      </c>
      <c r="C41" s="17" t="s">
        <v>599</v>
      </c>
      <c r="D41" s="17" t="s">
        <v>600</v>
      </c>
      <c r="E41" s="17" t="s">
        <v>601</v>
      </c>
      <c r="F41" s="17" t="s">
        <v>602</v>
      </c>
      <c r="G41" s="17" t="s">
        <v>603</v>
      </c>
      <c r="H41" s="17" t="s">
        <v>59</v>
      </c>
      <c r="I41" s="17" t="s">
        <v>445</v>
      </c>
      <c r="J41" s="17" t="s">
        <v>604</v>
      </c>
      <c r="K41" s="17" t="s">
        <v>605</v>
      </c>
    </row>
    <row r="42" spans="1:11" x14ac:dyDescent="0.3">
      <c r="A42" s="17" t="s">
        <v>579</v>
      </c>
      <c r="B42" s="17" t="s">
        <v>129</v>
      </c>
      <c r="C42" s="17" t="s">
        <v>606</v>
      </c>
      <c r="D42" s="17" t="s">
        <v>607</v>
      </c>
      <c r="E42" s="17" t="s">
        <v>608</v>
      </c>
      <c r="F42" s="17" t="s">
        <v>609</v>
      </c>
      <c r="G42" s="22">
        <v>46085</v>
      </c>
      <c r="H42" s="17" t="s">
        <v>59</v>
      </c>
      <c r="I42" s="17" t="s">
        <v>445</v>
      </c>
      <c r="J42" s="17" t="s">
        <v>610</v>
      </c>
      <c r="K42" s="17" t="s">
        <v>611</v>
      </c>
    </row>
    <row r="43" spans="1:11" x14ac:dyDescent="0.3">
      <c r="A43" s="17" t="s">
        <v>612</v>
      </c>
      <c r="B43" s="17" t="s">
        <v>170</v>
      </c>
      <c r="C43" s="17" t="s">
        <v>613</v>
      </c>
      <c r="D43" s="17" t="s">
        <v>614</v>
      </c>
      <c r="E43" s="17" t="s">
        <v>615</v>
      </c>
      <c r="F43" s="17" t="s">
        <v>616</v>
      </c>
      <c r="G43" s="17" t="s">
        <v>59</v>
      </c>
      <c r="H43" s="17" t="s">
        <v>59</v>
      </c>
      <c r="I43" s="17" t="s">
        <v>445</v>
      </c>
      <c r="J43" s="17" t="s">
        <v>148</v>
      </c>
      <c r="K43" s="17" t="s">
        <v>617</v>
      </c>
    </row>
    <row r="44" spans="1:11" x14ac:dyDescent="0.3">
      <c r="A44" s="17" t="s">
        <v>628</v>
      </c>
      <c r="B44" s="17" t="s">
        <v>129</v>
      </c>
      <c r="C44" s="17" t="s">
        <v>629</v>
      </c>
      <c r="D44" s="17" t="s">
        <v>630</v>
      </c>
      <c r="E44" s="17" t="s">
        <v>631</v>
      </c>
      <c r="F44" s="17" t="s">
        <v>632</v>
      </c>
      <c r="G44" s="17" t="s">
        <v>633</v>
      </c>
      <c r="H44" s="17" t="s">
        <v>59</v>
      </c>
      <c r="I44" s="17" t="s">
        <v>445</v>
      </c>
      <c r="J44" s="17" t="s">
        <v>634</v>
      </c>
      <c r="K44" s="17" t="s">
        <v>635</v>
      </c>
    </row>
    <row r="45" spans="1:11" x14ac:dyDescent="0.3">
      <c r="A45" s="17" t="s">
        <v>636</v>
      </c>
      <c r="B45" s="17" t="s">
        <v>170</v>
      </c>
      <c r="C45" s="17" t="s">
        <v>637</v>
      </c>
      <c r="D45" s="17" t="s">
        <v>638</v>
      </c>
      <c r="E45" s="17" t="s">
        <v>639</v>
      </c>
      <c r="F45" s="17" t="s">
        <v>640</v>
      </c>
      <c r="G45" s="17">
        <v>2026</v>
      </c>
      <c r="H45" s="17" t="s">
        <v>59</v>
      </c>
      <c r="I45" s="17" t="s">
        <v>445</v>
      </c>
      <c r="J45" s="17" t="s">
        <v>148</v>
      </c>
      <c r="K45" s="17" t="s">
        <v>641</v>
      </c>
    </row>
  </sheetData>
  <autoFilter ref="A1:K15" xr:uid="{00000000-0009-0000-0000-000002000000}"/>
  <phoneticPr fontId="4" type="noConversion"/>
  <dataValidations count="1">
    <dataValidation type="list" sqref="B2:B15 B21:B200" xr:uid="{00000000-0002-0000-0200-000000000000}">
      <formula1>"EPD,EC-Fallback,Cost,Standard,Model"</formula1>
    </dataValidation>
  </dataValidations>
  <pageMargins left="0.75" right="0.75" top="1" bottom="1" header="0.5" footer="0.5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1" topLeftCell="A2" activePane="bottomLeft" state="frozen"/>
      <selection pane="bottomLeft" activeCell="B24" sqref="B24"/>
    </sheetView>
  </sheetViews>
  <sheetFormatPr defaultRowHeight="16.5" x14ac:dyDescent="0.3"/>
  <cols>
    <col min="1" max="1" width="34" customWidth="1"/>
    <col min="2" max="2" width="18" customWidth="1"/>
    <col min="3" max="3" width="12" customWidth="1"/>
    <col min="4" max="4" width="10" customWidth="1"/>
    <col min="5" max="5" width="40" customWidth="1"/>
  </cols>
  <sheetData>
    <row r="1" spans="1:5" ht="30" customHeight="1" x14ac:dyDescent="0.3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</row>
    <row r="2" spans="1:5" x14ac:dyDescent="0.3">
      <c r="A2" s="2" t="s">
        <v>199</v>
      </c>
      <c r="B2" s="3" t="s">
        <v>200</v>
      </c>
      <c r="C2" s="2" t="s">
        <v>201</v>
      </c>
      <c r="D2" s="2" t="s">
        <v>169</v>
      </c>
      <c r="E2" s="2" t="s">
        <v>202</v>
      </c>
    </row>
    <row r="3" spans="1:5" x14ac:dyDescent="0.3">
      <c r="A3" s="2" t="s">
        <v>203</v>
      </c>
      <c r="B3" s="3" t="s">
        <v>204</v>
      </c>
      <c r="C3" s="2" t="s">
        <v>205</v>
      </c>
      <c r="D3" s="2" t="s">
        <v>169</v>
      </c>
      <c r="E3" s="2"/>
    </row>
    <row r="4" spans="1:5" x14ac:dyDescent="0.3">
      <c r="A4" s="2" t="s">
        <v>206</v>
      </c>
      <c r="B4" s="3" t="s">
        <v>207</v>
      </c>
      <c r="C4" s="2" t="s">
        <v>205</v>
      </c>
      <c r="D4" s="2" t="s">
        <v>169</v>
      </c>
      <c r="E4" s="2" t="s">
        <v>208</v>
      </c>
    </row>
    <row r="5" spans="1:5" x14ac:dyDescent="0.3">
      <c r="A5" s="2" t="s">
        <v>209</v>
      </c>
      <c r="B5" s="3" t="s">
        <v>210</v>
      </c>
      <c r="C5" s="2" t="s">
        <v>211</v>
      </c>
      <c r="D5" s="2" t="s">
        <v>169</v>
      </c>
      <c r="E5" s="2" t="s">
        <v>212</v>
      </c>
    </row>
    <row r="6" spans="1:5" x14ac:dyDescent="0.3">
      <c r="A6" s="2" t="s">
        <v>213</v>
      </c>
      <c r="B6" s="3" t="s">
        <v>214</v>
      </c>
      <c r="C6" s="2" t="s">
        <v>43</v>
      </c>
      <c r="D6" s="2" t="s">
        <v>169</v>
      </c>
      <c r="E6" s="2" t="s">
        <v>215</v>
      </c>
    </row>
    <row r="7" spans="1:5" x14ac:dyDescent="0.3">
      <c r="A7" s="2" t="s">
        <v>216</v>
      </c>
      <c r="B7" s="3" t="s">
        <v>217</v>
      </c>
      <c r="C7" s="2" t="s">
        <v>218</v>
      </c>
      <c r="D7" s="2" t="s">
        <v>176</v>
      </c>
      <c r="E7" s="2" t="s">
        <v>219</v>
      </c>
    </row>
    <row r="8" spans="1:5" x14ac:dyDescent="0.3">
      <c r="A8" s="2" t="s">
        <v>220</v>
      </c>
      <c r="B8" s="3" t="s">
        <v>221</v>
      </c>
      <c r="C8" s="2" t="s">
        <v>218</v>
      </c>
      <c r="D8" s="2" t="s">
        <v>176</v>
      </c>
      <c r="E8" s="2" t="s">
        <v>222</v>
      </c>
    </row>
    <row r="9" spans="1:5" x14ac:dyDescent="0.3">
      <c r="A9" s="2" t="s">
        <v>223</v>
      </c>
      <c r="B9" s="3" t="s">
        <v>224</v>
      </c>
      <c r="C9" s="2" t="s">
        <v>225</v>
      </c>
      <c r="D9" s="2" t="s">
        <v>169</v>
      </c>
      <c r="E9" s="2" t="s">
        <v>226</v>
      </c>
    </row>
    <row r="10" spans="1:5" x14ac:dyDescent="0.3">
      <c r="A10" s="2" t="s">
        <v>227</v>
      </c>
      <c r="B10" s="3" t="s">
        <v>228</v>
      </c>
      <c r="C10" s="2" t="s">
        <v>43</v>
      </c>
      <c r="D10" s="2" t="s">
        <v>169</v>
      </c>
      <c r="E10" s="2" t="s">
        <v>229</v>
      </c>
    </row>
    <row r="11" spans="1:5" x14ac:dyDescent="0.3">
      <c r="A11" s="2" t="s">
        <v>230</v>
      </c>
      <c r="B11" s="3" t="s">
        <v>231</v>
      </c>
      <c r="C11" s="2" t="s">
        <v>43</v>
      </c>
      <c r="D11" s="2" t="s">
        <v>169</v>
      </c>
      <c r="E11" s="2" t="s">
        <v>232</v>
      </c>
    </row>
    <row r="12" spans="1:5" x14ac:dyDescent="0.3">
      <c r="A12" t="s">
        <v>316</v>
      </c>
      <c r="B12">
        <v>0.75</v>
      </c>
      <c r="C12" t="s">
        <v>43</v>
      </c>
      <c r="D12" t="s">
        <v>176</v>
      </c>
      <c r="E12" t="s">
        <v>317</v>
      </c>
    </row>
    <row r="13" spans="1:5" x14ac:dyDescent="0.3">
      <c r="A13" t="s">
        <v>350</v>
      </c>
      <c r="B13">
        <v>0.5</v>
      </c>
      <c r="C13" t="s">
        <v>351</v>
      </c>
      <c r="D13" t="s">
        <v>169</v>
      </c>
      <c r="E13" t="s">
        <v>352</v>
      </c>
    </row>
    <row r="14" spans="1:5" x14ac:dyDescent="0.3">
      <c r="A14" t="s">
        <v>353</v>
      </c>
      <c r="B14">
        <v>0.2</v>
      </c>
      <c r="C14" t="s">
        <v>354</v>
      </c>
      <c r="D14" t="s">
        <v>169</v>
      </c>
      <c r="E14" t="s">
        <v>355</v>
      </c>
    </row>
    <row r="15" spans="1:5" x14ac:dyDescent="0.3">
      <c r="A15" t="s">
        <v>356</v>
      </c>
      <c r="B15">
        <v>26.7</v>
      </c>
      <c r="C15" t="s">
        <v>357</v>
      </c>
      <c r="D15" t="s">
        <v>169</v>
      </c>
      <c r="E15" t="s">
        <v>358</v>
      </c>
    </row>
  </sheetData>
  <autoFilter ref="A1:E11" xr:uid="{00000000-0009-0000-0000-000003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pane ySplit="1" topLeftCell="A2" activePane="bottomLeft" state="frozen"/>
      <selection pane="bottomLeft" activeCell="G16" sqref="G16"/>
    </sheetView>
  </sheetViews>
  <sheetFormatPr defaultRowHeight="16.5" x14ac:dyDescent="0.3"/>
  <cols>
    <col min="1" max="1" width="5" customWidth="1"/>
    <col min="2" max="2" width="22" customWidth="1"/>
    <col min="3" max="3" width="62" customWidth="1"/>
    <col min="4" max="4" width="18" customWidth="1"/>
    <col min="5" max="5" width="11" customWidth="1"/>
  </cols>
  <sheetData>
    <row r="1" spans="1:5" ht="30" customHeight="1" x14ac:dyDescent="0.3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</row>
    <row r="2" spans="1:5" x14ac:dyDescent="0.3">
      <c r="A2" s="2">
        <v>1</v>
      </c>
      <c r="B2" s="2" t="s">
        <v>238</v>
      </c>
      <c r="C2" s="2" t="s">
        <v>239</v>
      </c>
      <c r="D2" s="2" t="s">
        <v>240</v>
      </c>
      <c r="E2" s="4" t="s">
        <v>241</v>
      </c>
    </row>
    <row r="3" spans="1:5" x14ac:dyDescent="0.3">
      <c r="A3" s="2">
        <v>2</v>
      </c>
      <c r="B3" s="2" t="s">
        <v>242</v>
      </c>
      <c r="C3" s="2" t="s">
        <v>243</v>
      </c>
      <c r="D3" s="2" t="s">
        <v>244</v>
      </c>
      <c r="E3" s="4" t="s">
        <v>241</v>
      </c>
    </row>
    <row r="4" spans="1:5" x14ac:dyDescent="0.3">
      <c r="A4" s="2">
        <v>3</v>
      </c>
      <c r="B4" s="2" t="s">
        <v>245</v>
      </c>
      <c r="C4" s="2" t="s">
        <v>246</v>
      </c>
      <c r="D4" s="2" t="s">
        <v>247</v>
      </c>
      <c r="E4" s="2" t="s">
        <v>248</v>
      </c>
    </row>
    <row r="5" spans="1:5" x14ac:dyDescent="0.3">
      <c r="A5" s="2">
        <v>4</v>
      </c>
      <c r="B5" s="2" t="s">
        <v>249</v>
      </c>
      <c r="C5" s="2" t="s">
        <v>250</v>
      </c>
      <c r="D5" s="2" t="s">
        <v>251</v>
      </c>
      <c r="E5" s="2" t="s">
        <v>248</v>
      </c>
    </row>
    <row r="6" spans="1:5" x14ac:dyDescent="0.3">
      <c r="A6" s="2">
        <v>5</v>
      </c>
      <c r="B6" s="2" t="s">
        <v>252</v>
      </c>
      <c r="C6" s="2" t="s">
        <v>253</v>
      </c>
      <c r="D6" s="2" t="s">
        <v>254</v>
      </c>
      <c r="E6" s="4" t="s">
        <v>241</v>
      </c>
    </row>
    <row r="7" spans="1:5" x14ac:dyDescent="0.3">
      <c r="A7" s="2">
        <v>6</v>
      </c>
      <c r="B7" s="2" t="s">
        <v>255</v>
      </c>
      <c r="C7" s="2" t="s">
        <v>256</v>
      </c>
      <c r="D7" s="2" t="s">
        <v>257</v>
      </c>
      <c r="E7" s="2" t="s">
        <v>248</v>
      </c>
    </row>
    <row r="8" spans="1:5" x14ac:dyDescent="0.3">
      <c r="A8" s="2">
        <v>7</v>
      </c>
      <c r="B8" s="2" t="s">
        <v>258</v>
      </c>
      <c r="C8" s="2" t="s">
        <v>259</v>
      </c>
      <c r="D8" s="2" t="s">
        <v>17</v>
      </c>
      <c r="E8" s="2" t="s">
        <v>260</v>
      </c>
    </row>
    <row r="9" spans="1:5" x14ac:dyDescent="0.3">
      <c r="A9" s="2">
        <v>8</v>
      </c>
      <c r="B9" s="2" t="s">
        <v>261</v>
      </c>
      <c r="C9" s="2" t="s">
        <v>262</v>
      </c>
      <c r="D9" s="2" t="s">
        <v>263</v>
      </c>
      <c r="E9" s="2" t="s">
        <v>248</v>
      </c>
    </row>
    <row r="10" spans="1:5" x14ac:dyDescent="0.3">
      <c r="A10" s="2">
        <v>9</v>
      </c>
      <c r="B10" s="2" t="s">
        <v>264</v>
      </c>
      <c r="C10" s="2" t="s">
        <v>265</v>
      </c>
      <c r="D10" s="2" t="s">
        <v>266</v>
      </c>
      <c r="E10" s="4" t="s">
        <v>241</v>
      </c>
    </row>
    <row r="11" spans="1:5" x14ac:dyDescent="0.3">
      <c r="A11">
        <v>10</v>
      </c>
      <c r="B11" t="s">
        <v>318</v>
      </c>
      <c r="C11" t="s">
        <v>319</v>
      </c>
      <c r="D11" t="s">
        <v>320</v>
      </c>
      <c r="E11" t="s">
        <v>248</v>
      </c>
    </row>
    <row r="12" spans="1:5" x14ac:dyDescent="0.3">
      <c r="A12">
        <v>11</v>
      </c>
      <c r="B12" t="s">
        <v>321</v>
      </c>
      <c r="C12" t="s">
        <v>322</v>
      </c>
      <c r="D12" t="s">
        <v>247</v>
      </c>
      <c r="E12" t="s">
        <v>248</v>
      </c>
    </row>
    <row r="13" spans="1:5" x14ac:dyDescent="0.3">
      <c r="A13">
        <v>12</v>
      </c>
      <c r="B13" t="s">
        <v>323</v>
      </c>
      <c r="C13" t="s">
        <v>324</v>
      </c>
      <c r="D13" t="s">
        <v>325</v>
      </c>
      <c r="E13" t="s">
        <v>260</v>
      </c>
    </row>
    <row r="14" spans="1:5" x14ac:dyDescent="0.3">
      <c r="A14">
        <v>13</v>
      </c>
      <c r="B14" t="s">
        <v>326</v>
      </c>
      <c r="C14" t="s">
        <v>327</v>
      </c>
      <c r="D14" t="s">
        <v>328</v>
      </c>
      <c r="E14" t="s">
        <v>260</v>
      </c>
    </row>
    <row r="15" spans="1:5" x14ac:dyDescent="0.3">
      <c r="A15">
        <v>14</v>
      </c>
      <c r="B15" t="s">
        <v>329</v>
      </c>
      <c r="C15" t="s">
        <v>330</v>
      </c>
      <c r="D15" t="s">
        <v>331</v>
      </c>
      <c r="E15" t="s">
        <v>241</v>
      </c>
    </row>
    <row r="16" spans="1:5" x14ac:dyDescent="0.3">
      <c r="A16">
        <v>15</v>
      </c>
      <c r="B16" t="s">
        <v>359</v>
      </c>
      <c r="C16" t="s">
        <v>360</v>
      </c>
      <c r="D16" t="s">
        <v>361</v>
      </c>
      <c r="E16" t="s">
        <v>260</v>
      </c>
    </row>
    <row r="17" spans="1:5" x14ac:dyDescent="0.3">
      <c r="A17">
        <v>16</v>
      </c>
      <c r="B17" t="s">
        <v>362</v>
      </c>
      <c r="C17" t="s">
        <v>363</v>
      </c>
      <c r="D17" t="s">
        <v>364</v>
      </c>
      <c r="E17" t="s">
        <v>241</v>
      </c>
    </row>
    <row r="18" spans="1:5" x14ac:dyDescent="0.3">
      <c r="A18">
        <v>17</v>
      </c>
      <c r="B18" t="s">
        <v>365</v>
      </c>
      <c r="C18" t="s">
        <v>366</v>
      </c>
      <c r="D18" t="s">
        <v>367</v>
      </c>
      <c r="E18" t="s">
        <v>241</v>
      </c>
    </row>
    <row r="19" spans="1:5" x14ac:dyDescent="0.3">
      <c r="A19">
        <v>18</v>
      </c>
      <c r="B19" t="s">
        <v>368</v>
      </c>
      <c r="C19" t="s">
        <v>369</v>
      </c>
      <c r="D19" t="s">
        <v>370</v>
      </c>
      <c r="E19" t="s">
        <v>248</v>
      </c>
    </row>
    <row r="20" spans="1:5" x14ac:dyDescent="0.3">
      <c r="A20">
        <v>19</v>
      </c>
      <c r="B20" t="s">
        <v>407</v>
      </c>
      <c r="C20" t="s">
        <v>408</v>
      </c>
      <c r="D20" t="s">
        <v>409</v>
      </c>
      <c r="E20" t="s">
        <v>248</v>
      </c>
    </row>
    <row r="21" spans="1:5" x14ac:dyDescent="0.3">
      <c r="A21">
        <v>20</v>
      </c>
      <c r="B21" t="s">
        <v>410</v>
      </c>
      <c r="C21" t="s">
        <v>411</v>
      </c>
      <c r="D21" t="s">
        <v>412</v>
      </c>
      <c r="E21" t="s">
        <v>248</v>
      </c>
    </row>
    <row r="22" spans="1:5" x14ac:dyDescent="0.3">
      <c r="A22">
        <v>26</v>
      </c>
      <c r="B22" t="s">
        <v>647</v>
      </c>
      <c r="C22" t="s">
        <v>648</v>
      </c>
      <c r="D22" t="s">
        <v>649</v>
      </c>
      <c r="E22" t="s">
        <v>650</v>
      </c>
    </row>
    <row r="23" spans="1:5" x14ac:dyDescent="0.3">
      <c r="A23">
        <v>27</v>
      </c>
      <c r="B23" t="s">
        <v>651</v>
      </c>
      <c r="C23" t="s">
        <v>652</v>
      </c>
      <c r="D23" t="s">
        <v>653</v>
      </c>
      <c r="E23" t="s">
        <v>654</v>
      </c>
    </row>
    <row r="24" spans="1:5" x14ac:dyDescent="0.3">
      <c r="A24">
        <v>28</v>
      </c>
      <c r="B24" t="s">
        <v>655</v>
      </c>
      <c r="C24" t="s">
        <v>656</v>
      </c>
      <c r="D24" t="s">
        <v>657</v>
      </c>
      <c r="E24" t="s">
        <v>650</v>
      </c>
    </row>
  </sheetData>
  <autoFilter ref="A1:E10" xr:uid="{00000000-0009-0000-0000-000004000000}"/>
  <phoneticPr fontId="4" type="noConversion"/>
  <dataValidations count="1">
    <dataValidation type="list" allowBlank="1" sqref="E2:E200" xr:uid="{00000000-0002-0000-0400-000000000000}">
      <formula1>"OPEN,NOTE,DECIDED,DONE"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Table3.5_Register</vt:lpstr>
      <vt:lpstr>LevelInventory</vt:lpstr>
      <vt:lpstr>DataSources</vt:lpstr>
      <vt:lpstr>FixedParams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횡롄팠</cp:lastModifiedBy>
  <dcterms:created xsi:type="dcterms:W3CDTF">2026-06-29T06:09:02Z</dcterms:created>
  <dcterms:modified xsi:type="dcterms:W3CDTF">2026-06-30T07:49:50Z</dcterms:modified>
</cp:coreProperties>
</file>