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Research\0. CONFERENCE PAPER\2026.09_ICAE2026\DATA\USED\1. DOE_MEDIUM OFFICE\"/>
    </mc:Choice>
  </mc:AlternateContent>
  <xr:revisionPtr revIDLastSave="0" documentId="13_ncr:1_{E0046955-CA6A-408D-92A6-E06069FAE468}" xr6:coauthVersionLast="47" xr6:coauthVersionMax="47" xr10:uidLastSave="{00000000-0000-0000-0000-000000000000}"/>
  <bookViews>
    <workbookView xWindow="-120" yWindow="-120" windowWidth="29040" windowHeight="15720" xr2:uid="{9C0F4950-3992-4A27-95C9-5D05A396AE1E}"/>
  </bookViews>
  <sheets>
    <sheet name="HO CHI MINH CITY" sheetId="1" r:id="rId1"/>
  </sheets>
  <externalReferences>
    <externalReference r:id="rId2"/>
    <externalReference r:id="rId3"/>
  </externalReferences>
  <definedNames>
    <definedName name="hHdrOA">#REF!</definedName>
    <definedName name="OA_By_Zone">#REF!</definedName>
    <definedName name="tbl_OA">#REF!</definedName>
    <definedName name="tblDcv90_1_2022">[1]DCV_90.1_2022!$D$2:$K$11</definedName>
    <definedName name="tblDcvIECC_2024">[1]DCV_90.1_2022!$D$14:$J$17</definedName>
    <definedName name="tblPeopleData">#REF!</definedName>
    <definedName name="tblZoneArea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2" i="1" l="1"/>
  <c r="N42" i="1"/>
  <c r="M42" i="1"/>
  <c r="J42" i="1"/>
  <c r="I42" i="1"/>
  <c r="D42" i="1"/>
  <c r="O41" i="1"/>
  <c r="N41" i="1"/>
  <c r="M41" i="1"/>
  <c r="J41" i="1"/>
  <c r="I41" i="1"/>
  <c r="D41" i="1"/>
  <c r="O40" i="1"/>
  <c r="N40" i="1"/>
  <c r="M40" i="1"/>
  <c r="J40" i="1"/>
  <c r="I40" i="1"/>
  <c r="D40" i="1"/>
  <c r="W39" i="1"/>
  <c r="V39" i="1"/>
  <c r="U39" i="1"/>
  <c r="T39" i="1"/>
  <c r="P39" i="1"/>
  <c r="O39" i="1"/>
  <c r="N39" i="1"/>
  <c r="M39" i="1"/>
  <c r="J39" i="1"/>
  <c r="I39" i="1"/>
  <c r="H39" i="1"/>
  <c r="F39" i="1"/>
  <c r="E39" i="1"/>
  <c r="D39" i="1"/>
  <c r="W38" i="1"/>
  <c r="V38" i="1"/>
  <c r="U38" i="1"/>
  <c r="O38" i="1"/>
  <c r="N38" i="1"/>
  <c r="M38" i="1"/>
  <c r="J38" i="1"/>
  <c r="I38" i="1"/>
  <c r="H38" i="1"/>
  <c r="F38" i="1"/>
  <c r="E38" i="1"/>
  <c r="D38" i="1"/>
  <c r="T38" i="1" s="1"/>
  <c r="W37" i="1"/>
  <c r="V37" i="1"/>
  <c r="U37" i="1"/>
  <c r="T37" i="1"/>
  <c r="P37" i="1"/>
  <c r="O37" i="1"/>
  <c r="N37" i="1"/>
  <c r="M37" i="1"/>
  <c r="J37" i="1"/>
  <c r="I37" i="1"/>
  <c r="H37" i="1"/>
  <c r="F37" i="1"/>
  <c r="E37" i="1"/>
  <c r="D37" i="1"/>
  <c r="W36" i="1"/>
  <c r="V36" i="1"/>
  <c r="U36" i="1"/>
  <c r="O36" i="1"/>
  <c r="N36" i="1"/>
  <c r="M36" i="1"/>
  <c r="J36" i="1"/>
  <c r="I36" i="1"/>
  <c r="H36" i="1"/>
  <c r="F36" i="1"/>
  <c r="E36" i="1"/>
  <c r="D36" i="1"/>
  <c r="T36" i="1" s="1"/>
  <c r="W35" i="1"/>
  <c r="V35" i="1"/>
  <c r="U35" i="1"/>
  <c r="T35" i="1"/>
  <c r="P35" i="1"/>
  <c r="O35" i="1"/>
  <c r="N35" i="1"/>
  <c r="M35" i="1"/>
  <c r="J35" i="1"/>
  <c r="I35" i="1"/>
  <c r="H35" i="1"/>
  <c r="F35" i="1"/>
  <c r="E35" i="1"/>
  <c r="D35" i="1"/>
  <c r="W34" i="1"/>
  <c r="V34" i="1"/>
  <c r="U34" i="1"/>
  <c r="O34" i="1"/>
  <c r="N34" i="1"/>
  <c r="M34" i="1"/>
  <c r="J34" i="1"/>
  <c r="I34" i="1"/>
  <c r="H34" i="1"/>
  <c r="F34" i="1"/>
  <c r="E34" i="1"/>
  <c r="D34" i="1"/>
  <c r="T34" i="1" s="1"/>
  <c r="W33" i="1"/>
  <c r="V33" i="1"/>
  <c r="U33" i="1"/>
  <c r="T33" i="1"/>
  <c r="P33" i="1"/>
  <c r="O33" i="1"/>
  <c r="N33" i="1"/>
  <c r="M33" i="1"/>
  <c r="J33" i="1"/>
  <c r="I33" i="1"/>
  <c r="H33" i="1"/>
  <c r="F33" i="1"/>
  <c r="E33" i="1"/>
  <c r="D33" i="1"/>
  <c r="W32" i="1"/>
  <c r="V32" i="1"/>
  <c r="U32" i="1"/>
  <c r="O32" i="1"/>
  <c r="N32" i="1"/>
  <c r="M32" i="1"/>
  <c r="J32" i="1"/>
  <c r="I32" i="1"/>
  <c r="H32" i="1"/>
  <c r="F32" i="1"/>
  <c r="E32" i="1"/>
  <c r="D32" i="1"/>
  <c r="T32" i="1" s="1"/>
  <c r="W31" i="1"/>
  <c r="V31" i="1"/>
  <c r="U31" i="1"/>
  <c r="T31" i="1"/>
  <c r="P31" i="1"/>
  <c r="O31" i="1"/>
  <c r="N31" i="1"/>
  <c r="M31" i="1"/>
  <c r="J31" i="1"/>
  <c r="I31" i="1"/>
  <c r="H31" i="1"/>
  <c r="F31" i="1"/>
  <c r="E31" i="1"/>
  <c r="D31" i="1"/>
  <c r="W30" i="1"/>
  <c r="V30" i="1"/>
  <c r="U30" i="1"/>
  <c r="O30" i="1"/>
  <c r="N30" i="1"/>
  <c r="M30" i="1"/>
  <c r="J30" i="1"/>
  <c r="I30" i="1"/>
  <c r="H30" i="1"/>
  <c r="F30" i="1"/>
  <c r="E30" i="1"/>
  <c r="D30" i="1"/>
  <c r="T30" i="1" s="1"/>
  <c r="W29" i="1"/>
  <c r="V29" i="1"/>
  <c r="U29" i="1"/>
  <c r="T29" i="1"/>
  <c r="P29" i="1"/>
  <c r="O29" i="1"/>
  <c r="N29" i="1"/>
  <c r="M29" i="1"/>
  <c r="J29" i="1"/>
  <c r="I29" i="1"/>
  <c r="H29" i="1"/>
  <c r="F29" i="1"/>
  <c r="E29" i="1"/>
  <c r="D29" i="1"/>
  <c r="W28" i="1"/>
  <c r="V28" i="1"/>
  <c r="U28" i="1"/>
  <c r="O28" i="1"/>
  <c r="N28" i="1"/>
  <c r="M28" i="1"/>
  <c r="J28" i="1"/>
  <c r="I28" i="1"/>
  <c r="H28" i="1"/>
  <c r="F28" i="1"/>
  <c r="E28" i="1"/>
  <c r="D28" i="1"/>
  <c r="P28" i="1" s="1"/>
  <c r="W27" i="1"/>
  <c r="V27" i="1"/>
  <c r="U27" i="1"/>
  <c r="T27" i="1"/>
  <c r="P27" i="1"/>
  <c r="O27" i="1"/>
  <c r="N27" i="1"/>
  <c r="M27" i="1"/>
  <c r="J27" i="1"/>
  <c r="I27" i="1"/>
  <c r="H27" i="1"/>
  <c r="F27" i="1"/>
  <c r="E27" i="1"/>
  <c r="D27" i="1"/>
  <c r="W26" i="1"/>
  <c r="V26" i="1"/>
  <c r="U26" i="1"/>
  <c r="O26" i="1"/>
  <c r="N26" i="1"/>
  <c r="M26" i="1"/>
  <c r="J26" i="1"/>
  <c r="I26" i="1"/>
  <c r="H26" i="1"/>
  <c r="F26" i="1"/>
  <c r="E26" i="1"/>
  <c r="D26" i="1"/>
  <c r="T26" i="1" s="1"/>
  <c r="W25" i="1"/>
  <c r="V25" i="1"/>
  <c r="U25" i="1"/>
  <c r="T25" i="1"/>
  <c r="P25" i="1"/>
  <c r="O25" i="1"/>
  <c r="N25" i="1"/>
  <c r="M25" i="1"/>
  <c r="J25" i="1"/>
  <c r="I25" i="1"/>
  <c r="H25" i="1"/>
  <c r="F25" i="1"/>
  <c r="E25" i="1"/>
  <c r="D25" i="1"/>
  <c r="W24" i="1"/>
  <c r="V24" i="1"/>
  <c r="U24" i="1"/>
  <c r="O24" i="1"/>
  <c r="N24" i="1"/>
  <c r="M24" i="1"/>
  <c r="J24" i="1"/>
  <c r="I24" i="1"/>
  <c r="H24" i="1"/>
  <c r="F24" i="1"/>
  <c r="E24" i="1"/>
  <c r="D24" i="1"/>
  <c r="T24" i="1" s="1"/>
  <c r="W23" i="1"/>
  <c r="V23" i="1"/>
  <c r="U23" i="1"/>
  <c r="T23" i="1"/>
  <c r="P23" i="1"/>
  <c r="O23" i="1"/>
  <c r="N23" i="1"/>
  <c r="M23" i="1"/>
  <c r="J23" i="1"/>
  <c r="I23" i="1"/>
  <c r="H23" i="1"/>
  <c r="F23" i="1"/>
  <c r="E23" i="1"/>
  <c r="D23" i="1"/>
  <c r="W22" i="1"/>
  <c r="V22" i="1"/>
  <c r="U22" i="1"/>
  <c r="O22" i="1"/>
  <c r="N22" i="1"/>
  <c r="M22" i="1"/>
  <c r="J22" i="1"/>
  <c r="I22" i="1"/>
  <c r="H22" i="1"/>
  <c r="F22" i="1"/>
  <c r="E22" i="1"/>
  <c r="D22" i="1"/>
  <c r="T22" i="1" s="1"/>
  <c r="P34" i="1" l="1"/>
  <c r="T28" i="1"/>
  <c r="P22" i="1"/>
  <c r="P38" i="1"/>
  <c r="P24" i="1"/>
  <c r="P26" i="1"/>
  <c r="P30" i="1"/>
  <c r="P32" i="1"/>
  <c r="P36" i="1"/>
</calcChain>
</file>

<file path=xl/sharedStrings.xml><?xml version="1.0" encoding="utf-8"?>
<sst xmlns="http://schemas.openxmlformats.org/spreadsheetml/2006/main" count="467" uniqueCount="222">
  <si>
    <t>BUILDING SUMMARY</t>
    <phoneticPr fontId="2" type="noConversion"/>
  </si>
  <si>
    <t>Item</t>
  </si>
  <si>
    <t>Program</t>
  </si>
  <si>
    <t>Building Prototype</t>
  </si>
  <si>
    <t>Medium Office</t>
  </si>
  <si>
    <t>Form</t>
  </si>
  <si>
    <t>Building shape</t>
  </si>
  <si>
    <t>Number of Floors</t>
  </si>
  <si>
    <t>Window Fraction (Window-to-Wall Ratio)</t>
  </si>
  <si>
    <t>Architecture</t>
  </si>
  <si>
    <t>Exterior walls Construction</t>
  </si>
  <si>
    <t>Above-Grade Wall Type</t>
  </si>
  <si>
    <t>Steel-Frame Walls (2X4 16IN OC)
0.4 in. Stucco+5/8 in. gypsum board + wall Insulation+5/8 in.</t>
  </si>
  <si>
    <t>Associated Space Conditioning Category</t>
  </si>
  <si>
    <t>Nonresidential</t>
  </si>
  <si>
    <t>Roof Constuction</t>
  </si>
  <si>
    <t>Roof Type</t>
  </si>
  <si>
    <t>Built-up roof: 
Roof membrane+roof insulation+metal decking</t>
  </si>
  <si>
    <t>CLIMATE ZONE</t>
    <phoneticPr fontId="2" type="noConversion"/>
  </si>
  <si>
    <t>No</t>
  </si>
  <si>
    <t>Country</t>
  </si>
  <si>
    <t>Thermal Zone</t>
  </si>
  <si>
    <t>Thermal Climate Zone Name</t>
  </si>
  <si>
    <t>Representative City</t>
  </si>
  <si>
    <t>Weather Location</t>
  </si>
  <si>
    <t>Weather File Name</t>
  </si>
  <si>
    <t>International</t>
  </si>
  <si>
    <t>0A</t>
  </si>
  <si>
    <t>Extremely Hot Humid</t>
  </si>
  <si>
    <t>Ho Chi Minh City, Vietnam</t>
  </si>
  <si>
    <t>Ho Chi Minh City/Tan Son Nhat Airport, Vietnam</t>
  </si>
  <si>
    <t>Zone and HVAC System Summary</t>
  </si>
  <si>
    <t>Prototype Building</t>
  </si>
  <si>
    <t>Prototype Building (raw_data)</t>
  </si>
  <si>
    <t>Area [ft2]</t>
  </si>
  <si>
    <t>Multipliers</t>
  </si>
  <si>
    <t>Conditioned</t>
  </si>
  <si>
    <t>HVAC System Type (90.1-2004)</t>
  </si>
  <si>
    <t>HVAC System Name</t>
  </si>
  <si>
    <t>Gross Wall Area [ft2]</t>
  </si>
  <si>
    <t>Window Glass Area [ft2]</t>
  </si>
  <si>
    <t>Space Type for LPD</t>
  </si>
  <si>
    <t>Occupancy Category</t>
  </si>
  <si>
    <t>Lighting Power Desnity [W/ft2]</t>
  </si>
  <si>
    <t>Design Occupancy Density [people/1,000 ft2]</t>
  </si>
  <si>
    <t>Electric Equipment [W/ft2]</t>
  </si>
  <si>
    <t>Gas Equipment [W/ft2]</t>
  </si>
  <si>
    <t>Total OSA Ventilation [cfm/ft2]</t>
  </si>
  <si>
    <t>Exhaust Airflow [cfm/ft2]</t>
  </si>
  <si>
    <t>Envelope Infiltration (Flow/Exterior Wall Area) [cfm/ft2]</t>
  </si>
  <si>
    <t>Envelope Infiltration (Flow/Zone) [cfm/zone]</t>
  </si>
  <si>
    <t>Infiltration Through Entrances [cfm/zone]</t>
  </si>
  <si>
    <t>90.1-2004</t>
  </si>
  <si>
    <t>90.1-2004 (62-1999)
cfm/per</t>
  </si>
  <si>
    <t>90.1-2004 (62-1999)
cfm/sf</t>
  </si>
  <si>
    <t>90.1-2004 (62-1999)
cfm/zone</t>
  </si>
  <si>
    <t>OfficeMedium</t>
  </si>
  <si>
    <t>CORE_BOTTOM</t>
  </si>
  <si>
    <t>5.1 Packaged VAV with gas central heating and electric reheat</t>
  </si>
  <si>
    <t>Weighted</t>
  </si>
  <si>
    <t>Office space</t>
  </si>
  <si>
    <t>TOPFLOOR_PLENUM</t>
  </si>
  <si>
    <t>NA</t>
  </si>
  <si>
    <t>MIDFLOOR_PLENUM</t>
  </si>
  <si>
    <t>FIRSTFLOOR_PLENUM</t>
  </si>
  <si>
    <t>CORE_MID</t>
  </si>
  <si>
    <t>CORE_TOP</t>
  </si>
  <si>
    <t>PERIMETER_TOP_ZN_3</t>
  </si>
  <si>
    <t>PERIMETER_TOP_ZN_2</t>
  </si>
  <si>
    <t>PERIMETER_TOP_ZN_1</t>
  </si>
  <si>
    <t>PERIMETER_TOP_ZN_4</t>
  </si>
  <si>
    <t>PERIMETER_BOT_ZN_3</t>
  </si>
  <si>
    <t>PERIMETER_BOT_ZN_2</t>
  </si>
  <si>
    <t>PERIMETER_BOT_ZN_1</t>
  </si>
  <si>
    <t>PERIMETER_BOT_ZN_4</t>
  </si>
  <si>
    <t>PERIMETER_MID_ZN_3</t>
  </si>
  <si>
    <t>PERIMETER_MID_ZN_2</t>
  </si>
  <si>
    <t>PERIMETER_MID_ZN_1</t>
  </si>
  <si>
    <t>PERIMETER_MID_ZN_4</t>
  </si>
  <si>
    <t>Total</t>
  </si>
  <si>
    <t>Conditioned Total</t>
  </si>
  <si>
    <t>Unconditioned Total</t>
  </si>
  <si>
    <t>Fenestration_Weights</t>
  </si>
  <si>
    <t>Type 1</t>
  </si>
  <si>
    <t>Type 2</t>
  </si>
  <si>
    <t>Type 3</t>
  </si>
  <si>
    <t>Fixed</t>
  </si>
  <si>
    <t>Operable</t>
  </si>
  <si>
    <t>Nonmetal</t>
  </si>
  <si>
    <t>Metal - Fixed</t>
  </si>
  <si>
    <t>Metal - Operable</t>
  </si>
  <si>
    <t>Curtain wall / Storefront</t>
  </si>
  <si>
    <t>Metal - all other</t>
  </si>
  <si>
    <t>Schedule Summary</t>
  </si>
  <si>
    <t>Prototype</t>
  </si>
  <si>
    <t>Schedule</t>
  </si>
  <si>
    <t>Space Type</t>
  </si>
  <si>
    <t>Day of Week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</si>
  <si>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</si>
  <si>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</si>
  <si>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</si>
  <si>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</si>
  <si>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</si>
  <si>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</si>
  <si>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</si>
  <si>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</si>
  <si>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</si>
  <si>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</si>
  <si>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</si>
  <si>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</si>
  <si>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</si>
  <si>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</si>
  <si>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</si>
  <si>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</si>
  <si>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</si>
  <si>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</si>
  <si>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</si>
  <si>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</si>
  <si>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</si>
  <si>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</si>
  <si>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</si>
  <si>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12 am</t>
  </si>
  <si>
    <t>Lighting</t>
  </si>
  <si>
    <t>All</t>
  </si>
  <si>
    <t>Sat</t>
  </si>
  <si>
    <t>Sun</t>
  </si>
  <si>
    <t>Electric Equipment</t>
  </si>
  <si>
    <t>Mon - Fri</t>
  </si>
  <si>
    <t>HVAC</t>
  </si>
  <si>
    <t>SWH</t>
  </si>
  <si>
    <t>Elevator</t>
  </si>
  <si>
    <t>Infiltration</t>
  </si>
  <si>
    <t>Cooling Set Point</t>
  </si>
  <si>
    <t>Heating Set Point</t>
  </si>
  <si>
    <t>HVAC System Type Dictionary</t>
  </si>
  <si>
    <t>Source: ASHRAE Standard 90.1-2019 Table G3.1.1-4</t>
  </si>
  <si>
    <t>System No.</t>
  </si>
  <si>
    <t>System Type</t>
  </si>
  <si>
    <t>Fan Control</t>
  </si>
  <si>
    <t>Cooling Type (a)</t>
  </si>
  <si>
    <t>Heating Type (a)</t>
  </si>
  <si>
    <t>1. PTAC</t>
  </si>
  <si>
    <t>Packaged terminal air conditioner</t>
  </si>
  <si>
    <t>Constant volume</t>
  </si>
  <si>
    <t>Direct expansion</t>
  </si>
  <si>
    <t>Hot-water fossil fuel boiler</t>
  </si>
  <si>
    <t>2. PTHP</t>
  </si>
  <si>
    <t>Packaged terminal heat pump</t>
  </si>
  <si>
    <t>Electric heat pump</t>
  </si>
  <si>
    <t>3. PSZ-AC</t>
  </si>
  <si>
    <t>Packaged rooftop air conditioner</t>
  </si>
  <si>
    <t>Fossil fuel furnace</t>
  </si>
  <si>
    <t>4. PSZ-HP</t>
  </si>
  <si>
    <t>Packaged rooftop heat pump</t>
  </si>
  <si>
    <t>5. Packaged VAV with reheat</t>
  </si>
  <si>
    <t>Packaged rooftop VAV with reheat</t>
  </si>
  <si>
    <t>VAV</t>
  </si>
  <si>
    <t>6. Packaged VAV with PFP boxes</t>
  </si>
  <si>
    <t>Packaged rooftop VAV with parallel fan power boxes and reheat</t>
  </si>
  <si>
    <t>Electric resistance</t>
  </si>
  <si>
    <t>7. VAV with reheat</t>
  </si>
  <si>
    <t>VAV with reheat</t>
  </si>
  <si>
    <t>Chilled water</t>
  </si>
  <si>
    <t>8. VAV with PFP boxes</t>
  </si>
  <si>
    <t>VAV with parallel fan-powered boxes and reheat</t>
  </si>
  <si>
    <t>9. Heating and ventilation</t>
  </si>
  <si>
    <t>Warm air furnace, gas fired</t>
  </si>
  <si>
    <t>None</t>
  </si>
  <si>
    <t>10. Heating and ventilation</t>
  </si>
  <si>
    <t>Warm air furnace, electric</t>
  </si>
  <si>
    <t>11. SZ–VAV</t>
  </si>
  <si>
    <t>Single-zone VAV</t>
  </si>
  <si>
    <t>See note (b).</t>
  </si>
  <si>
    <t>12. SZ-CV-HW</t>
  </si>
  <si>
    <t>Single-zone system</t>
  </si>
  <si>
    <t>13. SZ-CV-ER</t>
  </si>
  <si>
    <t>14. WSHP (CRAC)</t>
  </si>
  <si>
    <t>Water source heat pump (Computer room air conditioning unit)</t>
  </si>
  <si>
    <t>Fluid cooler</t>
  </si>
  <si>
    <t>15. WSHP</t>
  </si>
  <si>
    <t>Water source heat pump</t>
  </si>
  <si>
    <t>Gas boiler</t>
  </si>
  <si>
    <t>1.1 PTAC with electric heating</t>
  </si>
  <si>
    <t>Packaged terminal air conditioner with electric heating</t>
  </si>
  <si>
    <t>3.1 PSZ-AC-Two-speed-fan</t>
  </si>
  <si>
    <t>Packaged rooftop air conditioner with two speed fan</t>
  </si>
  <si>
    <t>Two-speed</t>
  </si>
  <si>
    <t>3. PSZ-AC or 3.1 PSZ-AC-Two-speed-fan (size dependant)</t>
  </si>
  <si>
    <t>4.1 PSZ-HP-Two-speed-fan</t>
  </si>
  <si>
    <t>Packaged rooftop heat pump with two speed fan</t>
  </si>
  <si>
    <t>4.2 PSZ-HP with gas auxiliary heat</t>
  </si>
  <si>
    <t>Packaged rooftop heat pump with gas auxiliary heat</t>
  </si>
  <si>
    <t>4. PSZ-HP or 4.1 PSZ-HP-Two-speed-fan (size dependant)</t>
  </si>
  <si>
    <t>Packaged rooftop VAV with gas central heating and electric reheat</t>
  </si>
  <si>
    <t>Gas central heating and electric reheat</t>
  </si>
  <si>
    <t>5.2 Packaged VAV with electric central heating and electric reheat</t>
  </si>
  <si>
    <t>Packaged rooftop VAV with electric central heating and electric reheat</t>
  </si>
  <si>
    <t>Electric central heating and electric reheat</t>
  </si>
  <si>
    <t>7.1 VAV with electric central heating and electric reheat</t>
  </si>
  <si>
    <t>VAV with electric central heating and electric reheat</t>
  </si>
  <si>
    <t>7.2 VAV with hydronic central heating and electric reheat</t>
  </si>
  <si>
    <t>VAV with hydronic central heating and electric reheat</t>
  </si>
  <si>
    <t>Hot-water fossil fuel boiler for central heating and electric resistance for reheat</t>
  </si>
  <si>
    <t>11.1 SZ–VAV with hydronic heating</t>
  </si>
  <si>
    <t>11.2 SZ–VAV with electric heating</t>
  </si>
  <si>
    <t>15.1 WSHP with electric boiler</t>
  </si>
  <si>
    <t>Water source heat pump with electric boiler</t>
  </si>
  <si>
    <t>Electric boiler</t>
  </si>
  <si>
    <t>16. Four-pipe fan-coil</t>
  </si>
  <si>
    <t>Four-pipe fan-coil</t>
  </si>
  <si>
    <t>16.1 Four-pipe fan-coil with DOAS</t>
  </si>
  <si>
    <t>Four-pipe fan-coil with DOAS</t>
  </si>
  <si>
    <t>15.2 WSHP with MZ DOAS</t>
  </si>
  <si>
    <t>Water source heat pump for conditioning, central DOAS for ventilation with ERV without DCV?</t>
  </si>
  <si>
    <t>4.3 PSZ-HP with DOAS</t>
  </si>
  <si>
    <t>Packaged rooftop heat pump with DOAS</t>
  </si>
  <si>
    <t>Constant volume?</t>
  </si>
  <si>
    <t>No heating and cooling</t>
  </si>
  <si>
    <t>ideal loads</t>
  </si>
  <si>
    <t>a. For purchased chilled water and purchased heat, see G3.1.1.3.</t>
  </si>
  <si>
    <t>b. For Climate Zones 0 through 3A, the heating type shall be electric resistance. For all other climate zones the heating type shall be hot-water fossil-fuel boiler.</t>
  </si>
  <si>
    <t>VNM_Ho.Chi.Minh.City-Tan.Son.Nhat.AP.489000_IWEC2.epw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</si>
</sst>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2" x14ac:knownFonts="1">
    <font>
      <sz val="11"/>
      <color theme="1"/>
      <name val="맑은 고딕"/>
      <family val="2"/>
      <scheme val="minor"/>
    </font>
    <font>
      <b/>
      <sz val="11"/>
      <color theme="1"/>
      <name val="Cambria"/>
      <family val="1"/>
    </font>
    <font>
      <sz val="8"/>
      <name val="맑은 고딕"/>
      <family val="3"/>
      <charset val="129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name val="Arial"/>
      <family val="2"/>
    </font>
    <font>
      <b/>
      <sz val="12"/>
      <name val="Cambria"/>
      <family val="1"/>
    </font>
    <font>
      <b/>
      <sz val="10"/>
      <color theme="0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sz val="10"/>
      <color indexed="8"/>
      <name val="Cambria"/>
      <family val="1"/>
    </font>
    <font>
      <b/>
      <sz val="11"/>
      <color rgb="FF172B4D"/>
      <name val="Cambria"/>
      <family val="1"/>
    </font>
    <font>
      <sz val="11"/>
      <color rgb="FF172B4D"/>
      <name val="Cambria"/>
      <family val="1"/>
    </font>
    <font>
      <b/>
      <sz val="11"/>
      <color indexed="8"/>
      <name val="Cambria"/>
      <family val="1"/>
    </font>
    <font>
      <b/>
      <sz val="11"/>
      <name val="Cambria"/>
      <family val="1"/>
    </font>
    <font>
      <b/>
      <sz val="11"/>
      <color theme="0"/>
      <name val="Cambria"/>
      <family val="1"/>
    </font>
    <font>
      <sz val="11"/>
      <color indexed="8"/>
      <name val="Cambria"/>
      <family val="1"/>
    </font>
    <font>
      <sz val="11"/>
      <name val="Cambria"/>
      <family val="1"/>
    </font>
    <font>
      <b/>
      <sz val="8"/>
      <color theme="1"/>
      <name val="Cambria"/>
      <family val="1"/>
    </font>
    <font>
      <sz val="8"/>
      <color theme="1"/>
      <name val="Cambria"/>
      <family val="1"/>
    </font>
    <font>
      <sz val="11"/>
      <color theme="1"/>
      <name val="맑은 고딕"/>
      <family val="2"/>
      <scheme val="minor"/>
    </font>
    <font>
      <b/>
      <sz val="8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0" fillId="0" borderId="0" applyFont="0" applyFill="0" applyBorder="0" applyAlignment="0" applyProtection="0"/>
    <xf numFmtId="0" fontId="5" fillId="0" borderId="0"/>
  </cellStyleXfs>
  <cellXfs count="49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3" xfId="2" applyFont="1" applyFill="1" applyBorder="1" applyAlignment="1">
      <alignment vertical="center" wrapText="1"/>
    </xf>
    <xf numFmtId="0" fontId="7" fillId="3" borderId="3" xfId="2" applyFont="1" applyFill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  <xf numFmtId="0" fontId="7" fillId="4" borderId="3" xfId="2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5" fillId="3" borderId="3" xfId="0" applyFont="1" applyFill="1" applyBorder="1" applyAlignment="1">
      <alignment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right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right" vertical="center" wrapText="1"/>
    </xf>
    <xf numFmtId="4" fontId="16" fillId="0" borderId="3" xfId="0" applyNumberFormat="1" applyFont="1" applyBorder="1" applyAlignment="1">
      <alignment vertical="center" wrapText="1"/>
    </xf>
    <xf numFmtId="4" fontId="16" fillId="0" borderId="3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10" fontId="19" fillId="0" borderId="3" xfId="1" applyNumberFormat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2" fontId="19" fillId="0" borderId="3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6" fillId="0" borderId="2" xfId="2" applyFont="1" applyBorder="1" applyAlignment="1">
      <alignment vertical="center" wrapText="1"/>
    </xf>
    <xf numFmtId="0" fontId="8" fillId="0" borderId="1" xfId="2" applyFont="1" applyBorder="1" applyAlignment="1">
      <alignment vertical="center" wrapText="1"/>
    </xf>
    <xf numFmtId="0" fontId="8" fillId="0" borderId="2" xfId="2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</cellXfs>
  <cellStyles count="3">
    <cellStyle name="Normal" xfId="0" builtinId="0"/>
    <cellStyle name="Normal_Prototype_Scorecard-LgOffice-2008-03-13" xfId="2" xr:uid="{2309CF3E-7799-4708-910C-A7FD2F96F2E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153371</xdr:colOff>
      <xdr:row>9</xdr:row>
      <xdr:rowOff>94593</xdr:rowOff>
    </xdr:from>
    <xdr:to>
      <xdr:col>4</xdr:col>
      <xdr:colOff>1144504</xdr:colOff>
      <xdr:row>12</xdr:row>
      <xdr:rowOff>301566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B9D52C42-F319-4899-BA9B-2E4D781C9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779" y="1989567"/>
          <a:ext cx="2820936" cy="15053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nl\projects\comstd\_p.require\90.1_IECC_ventilation_and_DCV_requireme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Research\0.%20B&#193;O%20H&#7896;I%20NGH&#7882;\2026.09_ICAE2026\DATA\ASHRAE901_OfficeMedium\PNNL_Prototype_Scorecards.xlsx" TargetMode="External"/><Relationship Id="rId1" Type="http://schemas.openxmlformats.org/officeDocument/2006/relationships/externalLinkPath" Target="ASHRAE901_OfficeMedium/PNNL_Prototype_Scoreca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DCV_90.1_2022"/>
      <sheetName val="oa_value.json"/>
      <sheetName val="DCV_require"/>
      <sheetName val="Sheet3"/>
      <sheetName val="tbl_OA"/>
      <sheetName val="OA_ParmList"/>
      <sheetName val="OA_space_types"/>
      <sheetName val="62.1-2019FromYunyang"/>
      <sheetName val="Climate Zone"/>
      <sheetName val="Economizer"/>
    </sheetNames>
    <sheetDataSet>
      <sheetData sheetId="0" refreshError="1"/>
      <sheetData sheetId="1">
        <row r="2">
          <cell r="D2" t="str">
            <v>LookupID</v>
          </cell>
          <cell r="E2" t="str">
            <v>cz7_cz8</v>
          </cell>
          <cell r="F2" t="str">
            <v>cz5A_cz6A_cz6B</v>
          </cell>
          <cell r="G2" t="str">
            <v>cz0B_cz1B_cz3A_cz4A_cz5B_cz5C</v>
          </cell>
          <cell r="H2" t="str">
            <v>cz2A_cz2B_cz4C</v>
          </cell>
          <cell r="I2" t="str">
            <v>cz0A_cz1A_cz3B_cz4B</v>
          </cell>
          <cell r="J2" t="str">
            <v>cz3C</v>
          </cell>
        </row>
        <row r="3">
          <cell r="D3" t="str">
            <v>No0</v>
          </cell>
          <cell r="E3">
            <v>999999</v>
          </cell>
          <cell r="F3">
            <v>999999</v>
          </cell>
          <cell r="G3">
            <v>999999</v>
          </cell>
          <cell r="H3">
            <v>999999</v>
          </cell>
          <cell r="I3">
            <v>999999</v>
          </cell>
          <cell r="J3">
            <v>999999</v>
          </cell>
        </row>
        <row r="4">
          <cell r="D4" t="str">
            <v>No100</v>
          </cell>
          <cell r="E4">
            <v>400</v>
          </cell>
          <cell r="F4">
            <v>600</v>
          </cell>
          <cell r="G4">
            <v>800</v>
          </cell>
          <cell r="H4">
            <v>1100</v>
          </cell>
          <cell r="I4">
            <v>2400</v>
          </cell>
          <cell r="J4">
            <v>7000</v>
          </cell>
        </row>
        <row r="5">
          <cell r="D5" t="str">
            <v>No200</v>
          </cell>
          <cell r="E5">
            <v>200</v>
          </cell>
          <cell r="F5">
            <v>250</v>
          </cell>
          <cell r="G5">
            <v>400</v>
          </cell>
          <cell r="H5">
            <v>600</v>
          </cell>
          <cell r="I5">
            <v>1100</v>
          </cell>
          <cell r="J5">
            <v>3000</v>
          </cell>
        </row>
        <row r="6">
          <cell r="D6" t="str">
            <v>No400</v>
          </cell>
          <cell r="E6">
            <v>150</v>
          </cell>
          <cell r="F6">
            <v>150</v>
          </cell>
          <cell r="G6">
            <v>250</v>
          </cell>
          <cell r="H6">
            <v>300</v>
          </cell>
          <cell r="I6">
            <v>600</v>
          </cell>
          <cell r="J6">
            <v>1700</v>
          </cell>
        </row>
        <row r="7">
          <cell r="D7" t="str">
            <v>Yes0</v>
          </cell>
          <cell r="E7">
            <v>999999</v>
          </cell>
          <cell r="F7">
            <v>999999</v>
          </cell>
          <cell r="G7">
            <v>999999</v>
          </cell>
          <cell r="H7">
            <v>999999</v>
          </cell>
          <cell r="I7">
            <v>999999</v>
          </cell>
          <cell r="J7">
            <v>999999</v>
          </cell>
        </row>
        <row r="8">
          <cell r="D8" t="str">
            <v>Yes100</v>
          </cell>
          <cell r="E8">
            <v>800</v>
          </cell>
          <cell r="F8">
            <v>1400</v>
          </cell>
          <cell r="G8">
            <v>2000</v>
          </cell>
          <cell r="H8">
            <v>2300</v>
          </cell>
          <cell r="I8">
            <v>5800</v>
          </cell>
          <cell r="J8">
            <v>12000</v>
          </cell>
        </row>
        <row r="9">
          <cell r="D9" t="str">
            <v>Yes200</v>
          </cell>
          <cell r="E9">
            <v>400</v>
          </cell>
          <cell r="F9">
            <v>900</v>
          </cell>
          <cell r="G9">
            <v>1000</v>
          </cell>
          <cell r="H9">
            <v>1100</v>
          </cell>
          <cell r="I9">
            <v>2600</v>
          </cell>
          <cell r="J9">
            <v>6000</v>
          </cell>
        </row>
        <row r="10">
          <cell r="D10" t="str">
            <v>Yes400</v>
          </cell>
          <cell r="E10">
            <v>250</v>
          </cell>
          <cell r="F10">
            <v>400</v>
          </cell>
          <cell r="G10">
            <v>500</v>
          </cell>
          <cell r="H10">
            <v>600</v>
          </cell>
          <cell r="I10">
            <v>1400</v>
          </cell>
          <cell r="J10">
            <v>3000</v>
          </cell>
        </row>
        <row r="14">
          <cell r="D14" t="str">
            <v>LookupID</v>
          </cell>
          <cell r="E14" t="str">
            <v>cz7_cz8</v>
          </cell>
          <cell r="F14" t="str">
            <v>cz5A_cz6A_cz6B</v>
          </cell>
          <cell r="G14" t="str">
            <v>cz0B_cz1B_cz2A_cz2B_cz3A_cz4A_cz4C_cz5B_cz5C</v>
          </cell>
          <cell r="H14" t="str">
            <v>cz0A_cz1A_cz3B_cz4B</v>
          </cell>
          <cell r="I14" t="str">
            <v>cz3C</v>
          </cell>
        </row>
        <row r="15">
          <cell r="D15" t="str">
            <v>No</v>
          </cell>
          <cell r="E15">
            <v>250</v>
          </cell>
          <cell r="F15">
            <v>250</v>
          </cell>
          <cell r="G15">
            <v>500</v>
          </cell>
          <cell r="H15">
            <v>500</v>
          </cell>
          <cell r="I15">
            <v>500</v>
          </cell>
        </row>
        <row r="16">
          <cell r="D16" t="str">
            <v>Yes</v>
          </cell>
          <cell r="E16">
            <v>400</v>
          </cell>
          <cell r="F16">
            <v>1000</v>
          </cell>
          <cell r="G16">
            <v>1000</v>
          </cell>
          <cell r="H16">
            <v>2000</v>
          </cell>
          <cell r="I16">
            <v>6000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 CHI MINH CITY"/>
      <sheetName val="Building Summary"/>
      <sheetName val="Climate Zone"/>
      <sheetName val="Zone and HVAC System Summary"/>
      <sheetName val="Fenestration_Weights"/>
      <sheetName val="Schedule Summary"/>
      <sheetName val="HVAC System Type Dictionary"/>
      <sheetName val="schedule_reorganized"/>
      <sheetName val="schedule_mapping"/>
      <sheetName val="raw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Code</v>
          </cell>
          <cell r="C1" t="str">
            <v>Location</v>
          </cell>
          <cell r="D1" t="str">
            <v>Prototype Building</v>
          </cell>
          <cell r="E1" t="str">
            <v>Thermal Zone</v>
          </cell>
          <cell r="F1" t="str">
            <v>Area [m2]</v>
          </cell>
          <cell r="G1" t="str">
            <v>Multipliers</v>
          </cell>
          <cell r="H1" t="str">
            <v>Conditioned (Y/N)</v>
          </cell>
          <cell r="I1" t="str">
            <v>HVAC System Name</v>
          </cell>
          <cell r="J1" t="str">
            <v>Above Ground Gross Wall Area [m2]</v>
          </cell>
          <cell r="K1" t="str">
            <v>Window Glass Area [m2]</v>
          </cell>
          <cell r="L1" t="str">
            <v>Lighting Power Density [W/m2]</v>
          </cell>
          <cell r="M1" t="str">
            <v>Design Occupancy Density [m2/person]</v>
          </cell>
          <cell r="N1" t="str">
            <v>Plug and Process [W/m2]</v>
          </cell>
          <cell r="O1" t="str">
            <v>Gas Power [W]</v>
          </cell>
          <cell r="P1" t="str">
            <v>Total OSA Ventilation [m3/s]</v>
          </cell>
          <cell r="Q1" t="str">
            <v>Exhaust Airflow [m3/s]</v>
          </cell>
          <cell r="R1" t="str">
            <v>Envelope Infiltration (Flow/Exterior Wall Area) [m3/s-m2]</v>
          </cell>
          <cell r="S1" t="str">
            <v>Envelope Infiltration (Flow/Zone) [m3/s]</v>
          </cell>
          <cell r="T1" t="str">
            <v>Infiltration Through Entrances [m3/s]</v>
          </cell>
        </row>
        <row r="2">
          <cell r="A2" t="str">
            <v>ApartmentHighRiseG SW APARTMENT</v>
          </cell>
          <cell r="B2" t="str">
            <v>STD2004</v>
          </cell>
          <cell r="C2" t="str">
            <v>Buffalo</v>
          </cell>
          <cell r="D2" t="str">
            <v>ApartmentHighRise</v>
          </cell>
          <cell r="E2" t="str">
            <v>G SW APARTMENT</v>
          </cell>
          <cell r="F2">
            <v>88.25</v>
          </cell>
          <cell r="G2">
            <v>1</v>
          </cell>
          <cell r="H2" t="str">
            <v>Yes</v>
          </cell>
          <cell r="I2" t="str">
            <v>AIRLOOP G SW</v>
          </cell>
          <cell r="J2">
            <v>58.52</v>
          </cell>
          <cell r="K2">
            <v>17.559999999999999</v>
          </cell>
          <cell r="L2">
            <v>17.4375</v>
          </cell>
          <cell r="M2">
            <v>35.299999999999997</v>
          </cell>
          <cell r="N2">
            <v>6.67</v>
          </cell>
          <cell r="O2">
            <v>0</v>
          </cell>
          <cell r="P2">
            <v>2.5999999999999999E-2</v>
          </cell>
          <cell r="R2">
            <v>1.0252300508275299E-3</v>
          </cell>
          <cell r="S2">
            <v>0</v>
          </cell>
          <cell r="T2">
            <v>0</v>
          </cell>
        </row>
        <row r="3">
          <cell r="A3" t="str">
            <v>ApartmentHighRiseG NW APARTMENT</v>
          </cell>
          <cell r="B3" t="str">
            <v>STD2004</v>
          </cell>
          <cell r="C3" t="str">
            <v>Buffalo</v>
          </cell>
          <cell r="D3" t="str">
            <v>ApartmentHighRise</v>
          </cell>
          <cell r="E3" t="str">
            <v>G NW APARTMENT</v>
          </cell>
          <cell r="F3">
            <v>88.25</v>
          </cell>
          <cell r="G3">
            <v>1</v>
          </cell>
          <cell r="H3" t="str">
            <v>Yes</v>
          </cell>
          <cell r="I3" t="str">
            <v>AIRLOOP G NW</v>
          </cell>
          <cell r="J3">
            <v>58.52</v>
          </cell>
          <cell r="K3">
            <v>17.559999999999999</v>
          </cell>
          <cell r="L3">
            <v>17.4375</v>
          </cell>
          <cell r="M3">
            <v>35.299999999999997</v>
          </cell>
          <cell r="N3">
            <v>6.67</v>
          </cell>
          <cell r="O3">
            <v>0</v>
          </cell>
          <cell r="P3">
            <v>2.5999999999999999E-2</v>
          </cell>
          <cell r="R3">
            <v>1.0252300508275299E-3</v>
          </cell>
          <cell r="S3">
            <v>0</v>
          </cell>
          <cell r="T3">
            <v>0</v>
          </cell>
        </row>
        <row r="4">
          <cell r="A4" t="str">
            <v>ApartmentHighRiseOFFICE</v>
          </cell>
          <cell r="B4" t="str">
            <v>STD2004</v>
          </cell>
          <cell r="C4" t="str">
            <v>Buffalo</v>
          </cell>
          <cell r="D4" t="str">
            <v>ApartmentHighRise</v>
          </cell>
          <cell r="E4" t="str">
            <v>OFFICE</v>
          </cell>
          <cell r="F4">
            <v>88.25</v>
          </cell>
          <cell r="G4">
            <v>1</v>
          </cell>
          <cell r="H4" t="str">
            <v>Yes</v>
          </cell>
          <cell r="I4" t="str">
            <v>AIRLOOP OFFICE</v>
          </cell>
          <cell r="J4">
            <v>58.52</v>
          </cell>
          <cell r="K4">
            <v>17.559999999999999</v>
          </cell>
          <cell r="L4">
            <v>11.840299999999999</v>
          </cell>
          <cell r="M4">
            <v>18.579999999999998</v>
          </cell>
          <cell r="N4">
            <v>6.67</v>
          </cell>
          <cell r="O4">
            <v>0</v>
          </cell>
          <cell r="P4">
            <v>4.48E-2</v>
          </cell>
          <cell r="R4">
            <v>1.0252300508275299E-3</v>
          </cell>
          <cell r="S4">
            <v>0</v>
          </cell>
          <cell r="T4">
            <v>0</v>
          </cell>
        </row>
        <row r="5">
          <cell r="A5" t="str">
            <v>ApartmentHighRiseG NE APARTMENT</v>
          </cell>
          <cell r="B5" t="str">
            <v>STD2004</v>
          </cell>
          <cell r="C5" t="str">
            <v>Buffalo</v>
          </cell>
          <cell r="D5" t="str">
            <v>ApartmentHighRise</v>
          </cell>
          <cell r="E5" t="str">
            <v>G NE APARTMENT</v>
          </cell>
          <cell r="F5">
            <v>88.25</v>
          </cell>
          <cell r="G5">
            <v>1</v>
          </cell>
          <cell r="H5" t="str">
            <v>Yes</v>
          </cell>
          <cell r="I5" t="str">
            <v>AIRLOOP G NE</v>
          </cell>
          <cell r="J5">
            <v>58.52</v>
          </cell>
          <cell r="K5">
            <v>17.559999999999999</v>
          </cell>
          <cell r="L5">
            <v>17.4375</v>
          </cell>
          <cell r="M5">
            <v>35.299999999999997</v>
          </cell>
          <cell r="N5">
            <v>6.67</v>
          </cell>
          <cell r="O5">
            <v>0</v>
          </cell>
          <cell r="P5">
            <v>2.5999999999999999E-2</v>
          </cell>
          <cell r="R5">
            <v>1.0252300508275299E-3</v>
          </cell>
          <cell r="S5">
            <v>0</v>
          </cell>
          <cell r="T5">
            <v>0</v>
          </cell>
        </row>
        <row r="6">
          <cell r="A6" t="str">
            <v>ApartmentHighRiseG N1 APARTMENT</v>
          </cell>
          <cell r="B6" t="str">
            <v>STD2004</v>
          </cell>
          <cell r="C6" t="str">
            <v>Buffalo</v>
          </cell>
          <cell r="D6" t="str">
            <v>ApartmentHighRise</v>
          </cell>
          <cell r="E6" t="str">
            <v>G N1 APARTMENT</v>
          </cell>
          <cell r="F6">
            <v>88.25</v>
          </cell>
          <cell r="G6">
            <v>1</v>
          </cell>
          <cell r="H6" t="str">
            <v>Yes</v>
          </cell>
          <cell r="I6" t="str">
            <v>AIRLOOP G N1</v>
          </cell>
          <cell r="J6">
            <v>35.299999999999997</v>
          </cell>
          <cell r="K6">
            <v>10.59</v>
          </cell>
          <cell r="L6">
            <v>17.4375</v>
          </cell>
          <cell r="M6">
            <v>35.299999999999997</v>
          </cell>
          <cell r="N6">
            <v>6.67</v>
          </cell>
          <cell r="O6">
            <v>0</v>
          </cell>
          <cell r="P6">
            <v>2.5999999999999999E-2</v>
          </cell>
          <cell r="R6">
            <v>1.0252300508275299E-3</v>
          </cell>
          <cell r="S6">
            <v>0</v>
          </cell>
          <cell r="T6">
            <v>0</v>
          </cell>
        </row>
        <row r="7">
          <cell r="A7" t="str">
            <v>ApartmentHighRiseG N2 APARTMENT</v>
          </cell>
          <cell r="B7" t="str">
            <v>STD2004</v>
          </cell>
          <cell r="C7" t="str">
            <v>Buffalo</v>
          </cell>
          <cell r="D7" t="str">
            <v>ApartmentHighRise</v>
          </cell>
          <cell r="E7" t="str">
            <v>G N2 APARTMENT</v>
          </cell>
          <cell r="F7">
            <v>88.25</v>
          </cell>
          <cell r="G7">
            <v>1</v>
          </cell>
          <cell r="H7" t="str">
            <v>Yes</v>
          </cell>
          <cell r="I7" t="str">
            <v>AIRLOOP G N2</v>
          </cell>
          <cell r="J7">
            <v>35.299999999999997</v>
          </cell>
          <cell r="K7">
            <v>10.59</v>
          </cell>
          <cell r="L7">
            <v>17.4375</v>
          </cell>
          <cell r="M7">
            <v>35.299999999999997</v>
          </cell>
          <cell r="N7">
            <v>6.67</v>
          </cell>
          <cell r="O7">
            <v>0</v>
          </cell>
          <cell r="P7">
            <v>2.5999999999999999E-2</v>
          </cell>
          <cell r="R7">
            <v>1.0252300508275299E-3</v>
          </cell>
          <cell r="S7">
            <v>0</v>
          </cell>
          <cell r="T7">
            <v>0</v>
          </cell>
        </row>
        <row r="8">
          <cell r="A8" t="str">
            <v>ApartmentHighRiseG S1 APARTMENT</v>
          </cell>
          <cell r="B8" t="str">
            <v>STD2004</v>
          </cell>
          <cell r="C8" t="str">
            <v>Buffalo</v>
          </cell>
          <cell r="D8" t="str">
            <v>ApartmentHighRise</v>
          </cell>
          <cell r="E8" t="str">
            <v>G S1 APARTMENT</v>
          </cell>
          <cell r="F8">
            <v>88.25</v>
          </cell>
          <cell r="G8">
            <v>1</v>
          </cell>
          <cell r="H8" t="str">
            <v>Yes</v>
          </cell>
          <cell r="I8" t="str">
            <v>AIRLOOP G S1</v>
          </cell>
          <cell r="J8">
            <v>35.299999999999997</v>
          </cell>
          <cell r="K8">
            <v>10.59</v>
          </cell>
          <cell r="L8">
            <v>17.4375</v>
          </cell>
          <cell r="M8">
            <v>35.299999999999997</v>
          </cell>
          <cell r="N8">
            <v>6.67</v>
          </cell>
          <cell r="O8">
            <v>0</v>
          </cell>
          <cell r="P8">
            <v>2.5999999999999999E-2</v>
          </cell>
          <cell r="R8">
            <v>1.0252300508275299E-3</v>
          </cell>
          <cell r="S8">
            <v>0</v>
          </cell>
          <cell r="T8">
            <v>0</v>
          </cell>
        </row>
        <row r="9">
          <cell r="A9" t="str">
            <v>ApartmentHighRiseG S2 APARTMENT</v>
          </cell>
          <cell r="B9" t="str">
            <v>STD2004</v>
          </cell>
          <cell r="C9" t="str">
            <v>Buffalo</v>
          </cell>
          <cell r="D9" t="str">
            <v>ApartmentHighRise</v>
          </cell>
          <cell r="E9" t="str">
            <v>G S2 APARTMENT</v>
          </cell>
          <cell r="F9">
            <v>88.25</v>
          </cell>
          <cell r="G9">
            <v>1</v>
          </cell>
          <cell r="H9" t="str">
            <v>Yes</v>
          </cell>
          <cell r="I9" t="str">
            <v>AIRLOOP G S2</v>
          </cell>
          <cell r="J9">
            <v>35.299999999999997</v>
          </cell>
          <cell r="K9">
            <v>10.59</v>
          </cell>
          <cell r="L9">
            <v>17.4375</v>
          </cell>
          <cell r="M9">
            <v>35.299999999999997</v>
          </cell>
          <cell r="N9">
            <v>6.67</v>
          </cell>
          <cell r="O9">
            <v>0</v>
          </cell>
          <cell r="P9">
            <v>2.5999999999999999E-2</v>
          </cell>
          <cell r="R9">
            <v>1.0252300508275299E-3</v>
          </cell>
          <cell r="S9">
            <v>0</v>
          </cell>
          <cell r="T9">
            <v>0</v>
          </cell>
        </row>
        <row r="10">
          <cell r="A10" t="str">
            <v>ApartmentHighRiseG CORRIDOR</v>
          </cell>
          <cell r="B10" t="str">
            <v>STD2004</v>
          </cell>
          <cell r="C10" t="str">
            <v>Buffalo</v>
          </cell>
          <cell r="D10" t="str">
            <v>ApartmentHighRise</v>
          </cell>
          <cell r="E10" t="str">
            <v>G CORRIDOR</v>
          </cell>
          <cell r="F10">
            <v>77.66</v>
          </cell>
          <cell r="G10">
            <v>1</v>
          </cell>
          <cell r="H10" t="str">
            <v>No</v>
          </cell>
          <cell r="J10">
            <v>10.220000000000001</v>
          </cell>
          <cell r="K10">
            <v>4.47</v>
          </cell>
          <cell r="L10">
            <v>5.6509999999999998</v>
          </cell>
          <cell r="M10">
            <v>18.579999999999998</v>
          </cell>
          <cell r="N10">
            <v>0</v>
          </cell>
          <cell r="O10">
            <v>0</v>
          </cell>
          <cell r="R10">
            <v>1.0252300508275299E-3</v>
          </cell>
          <cell r="S10">
            <v>0</v>
          </cell>
          <cell r="T10">
            <v>1.523916863</v>
          </cell>
        </row>
        <row r="11">
          <cell r="A11" t="str">
            <v>ApartmentHighRiseM SW APARTMENT</v>
          </cell>
          <cell r="B11" t="str">
            <v>STD2004</v>
          </cell>
          <cell r="C11" t="str">
            <v>Buffalo</v>
          </cell>
          <cell r="D11" t="str">
            <v>ApartmentHighRise</v>
          </cell>
          <cell r="E11" t="str">
            <v>M SW APARTMENT</v>
          </cell>
          <cell r="F11">
            <v>88.25</v>
          </cell>
          <cell r="G11">
            <v>8</v>
          </cell>
          <cell r="H11" t="str">
            <v>Yes</v>
          </cell>
          <cell r="I11" t="str">
            <v>AIRLOOP M SW</v>
          </cell>
          <cell r="J11">
            <v>58.52</v>
          </cell>
          <cell r="K11">
            <v>17.559999999999999</v>
          </cell>
          <cell r="L11">
            <v>17.4375</v>
          </cell>
          <cell r="M11">
            <v>35.299999999999997</v>
          </cell>
          <cell r="N11">
            <v>6.67</v>
          </cell>
          <cell r="O11">
            <v>0</v>
          </cell>
          <cell r="P11">
            <v>0.20760000000000001</v>
          </cell>
          <cell r="R11">
            <v>1.0252300508275299E-3</v>
          </cell>
          <cell r="S11">
            <v>0</v>
          </cell>
          <cell r="T11">
            <v>0</v>
          </cell>
        </row>
        <row r="12">
          <cell r="A12" t="str">
            <v>ApartmentHighRiseM NW APARTMENT</v>
          </cell>
          <cell r="B12" t="str">
            <v>STD2004</v>
          </cell>
          <cell r="C12" t="str">
            <v>Buffalo</v>
          </cell>
          <cell r="D12" t="str">
            <v>ApartmentHighRise</v>
          </cell>
          <cell r="E12" t="str">
            <v>M NW APARTMENT</v>
          </cell>
          <cell r="F12">
            <v>88.25</v>
          </cell>
          <cell r="G12">
            <v>8</v>
          </cell>
          <cell r="H12" t="str">
            <v>Yes</v>
          </cell>
          <cell r="I12" t="str">
            <v>AIRLOOP M NW</v>
          </cell>
          <cell r="J12">
            <v>58.52</v>
          </cell>
          <cell r="K12">
            <v>17.559999999999999</v>
          </cell>
          <cell r="L12">
            <v>17.4375</v>
          </cell>
          <cell r="M12">
            <v>35.299999999999997</v>
          </cell>
          <cell r="N12">
            <v>6.67</v>
          </cell>
          <cell r="O12">
            <v>0</v>
          </cell>
          <cell r="P12">
            <v>0.20760000000000001</v>
          </cell>
          <cell r="R12">
            <v>1.0252300508275299E-3</v>
          </cell>
          <cell r="S12">
            <v>0</v>
          </cell>
          <cell r="T12">
            <v>0</v>
          </cell>
        </row>
        <row r="13">
          <cell r="A13" t="str">
            <v>ApartmentHighRiseM SE APARTMENT</v>
          </cell>
          <cell r="B13" t="str">
            <v>STD2004</v>
          </cell>
          <cell r="C13" t="str">
            <v>Buffalo</v>
          </cell>
          <cell r="D13" t="str">
            <v>ApartmentHighRise</v>
          </cell>
          <cell r="E13" t="str">
            <v>M SE APARTMENT</v>
          </cell>
          <cell r="F13">
            <v>88.25</v>
          </cell>
          <cell r="G13">
            <v>8</v>
          </cell>
          <cell r="H13" t="str">
            <v>Yes</v>
          </cell>
          <cell r="I13" t="str">
            <v>AIRLOOP M SE</v>
          </cell>
          <cell r="J13">
            <v>58.52</v>
          </cell>
          <cell r="K13">
            <v>17.559999999999999</v>
          </cell>
          <cell r="L13">
            <v>17.4375</v>
          </cell>
          <cell r="M13">
            <v>35.299999999999997</v>
          </cell>
          <cell r="N13">
            <v>6.67</v>
          </cell>
          <cell r="O13">
            <v>0</v>
          </cell>
          <cell r="P13">
            <v>0.20760000000000001</v>
          </cell>
          <cell r="R13">
            <v>1.0252300508275299E-3</v>
          </cell>
          <cell r="S13">
            <v>0</v>
          </cell>
          <cell r="T13">
            <v>0</v>
          </cell>
        </row>
        <row r="14">
          <cell r="A14" t="str">
            <v>ApartmentHighRiseM NE APARTMENT</v>
          </cell>
          <cell r="B14" t="str">
            <v>STD2004</v>
          </cell>
          <cell r="C14" t="str">
            <v>Buffalo</v>
          </cell>
          <cell r="D14" t="str">
            <v>ApartmentHighRise</v>
          </cell>
          <cell r="E14" t="str">
            <v>M NE APARTMENT</v>
          </cell>
          <cell r="F14">
            <v>88.25</v>
          </cell>
          <cell r="G14">
            <v>8</v>
          </cell>
          <cell r="H14" t="str">
            <v>Yes</v>
          </cell>
          <cell r="I14" t="str">
            <v>AIRLOOP M NE</v>
          </cell>
          <cell r="J14">
            <v>58.52</v>
          </cell>
          <cell r="K14">
            <v>17.559999999999999</v>
          </cell>
          <cell r="L14">
            <v>17.4375</v>
          </cell>
          <cell r="M14">
            <v>35.299999999999997</v>
          </cell>
          <cell r="N14">
            <v>6.67</v>
          </cell>
          <cell r="O14">
            <v>0</v>
          </cell>
          <cell r="P14">
            <v>0.20760000000000001</v>
          </cell>
          <cell r="R14">
            <v>1.0252300508275299E-3</v>
          </cell>
          <cell r="S14">
            <v>0</v>
          </cell>
          <cell r="T14">
            <v>0</v>
          </cell>
        </row>
        <row r="15">
          <cell r="A15" t="str">
            <v>ApartmentHighRiseM N1 APARTMENT</v>
          </cell>
          <cell r="B15" t="str">
            <v>STD2004</v>
          </cell>
          <cell r="C15" t="str">
            <v>Buffalo</v>
          </cell>
          <cell r="D15" t="str">
            <v>ApartmentHighRise</v>
          </cell>
          <cell r="E15" t="str">
            <v>M N1 APARTMENT</v>
          </cell>
          <cell r="F15">
            <v>88.25</v>
          </cell>
          <cell r="G15">
            <v>8</v>
          </cell>
          <cell r="H15" t="str">
            <v>Yes</v>
          </cell>
          <cell r="I15" t="str">
            <v>AIRLOOP M N1</v>
          </cell>
          <cell r="J15">
            <v>35.299999999999997</v>
          </cell>
          <cell r="K15">
            <v>10.59</v>
          </cell>
          <cell r="L15">
            <v>17.4375</v>
          </cell>
          <cell r="M15">
            <v>35.299999999999997</v>
          </cell>
          <cell r="N15">
            <v>6.67</v>
          </cell>
          <cell r="O15">
            <v>0</v>
          </cell>
          <cell r="P15">
            <v>0.20760000000000001</v>
          </cell>
          <cell r="R15">
            <v>1.0252300508275299E-3</v>
          </cell>
          <cell r="S15">
            <v>0</v>
          </cell>
          <cell r="T15">
            <v>0</v>
          </cell>
        </row>
        <row r="16">
          <cell r="A16" t="str">
            <v>ApartmentHighRiseM N2 APARTMENT</v>
          </cell>
          <cell r="B16" t="str">
            <v>STD2004</v>
          </cell>
          <cell r="C16" t="str">
            <v>Buffalo</v>
          </cell>
          <cell r="D16" t="str">
            <v>ApartmentHighRise</v>
          </cell>
          <cell r="E16" t="str">
            <v>M N2 APARTMENT</v>
          </cell>
          <cell r="F16">
            <v>88.25</v>
          </cell>
          <cell r="G16">
            <v>8</v>
          </cell>
          <cell r="H16" t="str">
            <v>Yes</v>
          </cell>
          <cell r="I16" t="str">
            <v>AIRLOOP M N2</v>
          </cell>
          <cell r="J16">
            <v>35.299999999999997</v>
          </cell>
          <cell r="K16">
            <v>10.59</v>
          </cell>
          <cell r="L16">
            <v>17.4375</v>
          </cell>
          <cell r="M16">
            <v>35.299999999999997</v>
          </cell>
          <cell r="N16">
            <v>6.67</v>
          </cell>
          <cell r="O16">
            <v>0</v>
          </cell>
          <cell r="P16">
            <v>0.20760000000000001</v>
          </cell>
          <cell r="R16">
            <v>1.0252300508275299E-3</v>
          </cell>
          <cell r="S16">
            <v>0</v>
          </cell>
          <cell r="T16">
            <v>0</v>
          </cell>
        </row>
        <row r="17">
          <cell r="A17" t="str">
            <v>ApartmentHighRiseM S1 APARTMENT</v>
          </cell>
          <cell r="B17" t="str">
            <v>STD2004</v>
          </cell>
          <cell r="C17" t="str">
            <v>Buffalo</v>
          </cell>
          <cell r="D17" t="str">
            <v>ApartmentHighRise</v>
          </cell>
          <cell r="E17" t="str">
            <v>M S1 APARTMENT</v>
          </cell>
          <cell r="F17">
            <v>88.25</v>
          </cell>
          <cell r="G17">
            <v>8</v>
          </cell>
          <cell r="H17" t="str">
            <v>Yes</v>
          </cell>
          <cell r="I17" t="str">
            <v>AIRLOOP M S1</v>
          </cell>
          <cell r="J17">
            <v>35.299999999999997</v>
          </cell>
          <cell r="K17">
            <v>10.59</v>
          </cell>
          <cell r="L17">
            <v>17.4375</v>
          </cell>
          <cell r="M17">
            <v>35.299999999999997</v>
          </cell>
          <cell r="N17">
            <v>6.67</v>
          </cell>
          <cell r="O17">
            <v>0</v>
          </cell>
          <cell r="P17">
            <v>0.20760000000000001</v>
          </cell>
          <cell r="R17">
            <v>1.0252300508275299E-3</v>
          </cell>
          <cell r="S17">
            <v>0</v>
          </cell>
          <cell r="T17">
            <v>0</v>
          </cell>
        </row>
        <row r="18">
          <cell r="A18" t="str">
            <v>ApartmentHighRiseM S2 APARTMENT</v>
          </cell>
          <cell r="B18" t="str">
            <v>STD2004</v>
          </cell>
          <cell r="C18" t="str">
            <v>Buffalo</v>
          </cell>
          <cell r="D18" t="str">
            <v>ApartmentHighRise</v>
          </cell>
          <cell r="E18" t="str">
            <v>M S2 APARTMENT</v>
          </cell>
          <cell r="F18">
            <v>88.25</v>
          </cell>
          <cell r="G18">
            <v>8</v>
          </cell>
          <cell r="H18" t="str">
            <v>Yes</v>
          </cell>
          <cell r="I18" t="str">
            <v>AIRLOOP M S2</v>
          </cell>
          <cell r="J18">
            <v>35.299999999999997</v>
          </cell>
          <cell r="K18">
            <v>10.59</v>
          </cell>
          <cell r="L18">
            <v>17.4375</v>
          </cell>
          <cell r="M18">
            <v>35.299999999999997</v>
          </cell>
          <cell r="N18">
            <v>6.67</v>
          </cell>
          <cell r="O18">
            <v>0</v>
          </cell>
          <cell r="P18">
            <v>0.20760000000000001</v>
          </cell>
          <cell r="R18">
            <v>1.0252300508275299E-3</v>
          </cell>
          <cell r="S18">
            <v>0</v>
          </cell>
          <cell r="T18">
            <v>0</v>
          </cell>
        </row>
        <row r="19">
          <cell r="A19" t="str">
            <v>ApartmentHighRiseM CORRIDOR</v>
          </cell>
          <cell r="B19" t="str">
            <v>STD2004</v>
          </cell>
          <cell r="C19" t="str">
            <v>Buffalo</v>
          </cell>
          <cell r="D19" t="str">
            <v>ApartmentHighRise</v>
          </cell>
          <cell r="E19" t="str">
            <v>M CORRIDOR</v>
          </cell>
          <cell r="F19">
            <v>77.66</v>
          </cell>
          <cell r="G19">
            <v>8</v>
          </cell>
          <cell r="H19" t="str">
            <v>No</v>
          </cell>
          <cell r="J19">
            <v>10.220000000000001</v>
          </cell>
          <cell r="K19">
            <v>2.23</v>
          </cell>
          <cell r="L19">
            <v>5.6509999999999998</v>
          </cell>
          <cell r="M19">
            <v>18.579999999999998</v>
          </cell>
          <cell r="N19">
            <v>0</v>
          </cell>
          <cell r="O19">
            <v>0</v>
          </cell>
          <cell r="R19">
            <v>1.0252300508275299E-3</v>
          </cell>
          <cell r="S19">
            <v>0</v>
          </cell>
          <cell r="T19">
            <v>0</v>
          </cell>
        </row>
        <row r="20">
          <cell r="A20" t="str">
            <v>ApartmentHighRiseT SW APARTMENT</v>
          </cell>
          <cell r="B20" t="str">
            <v>STD2004</v>
          </cell>
          <cell r="C20" t="str">
            <v>Buffalo</v>
          </cell>
          <cell r="D20" t="str">
            <v>ApartmentHighRise</v>
          </cell>
          <cell r="E20" t="str">
            <v>T SW APARTMENT</v>
          </cell>
          <cell r="F20">
            <v>88.25</v>
          </cell>
          <cell r="G20">
            <v>1</v>
          </cell>
          <cell r="H20" t="str">
            <v>Yes</v>
          </cell>
          <cell r="I20" t="str">
            <v>AIRLOOP T SW</v>
          </cell>
          <cell r="J20">
            <v>58.52</v>
          </cell>
          <cell r="K20">
            <v>17.559999999999999</v>
          </cell>
          <cell r="L20">
            <v>17.4375</v>
          </cell>
          <cell r="M20">
            <v>35.299999999999997</v>
          </cell>
          <cell r="N20">
            <v>6.67</v>
          </cell>
          <cell r="O20">
            <v>0</v>
          </cell>
          <cell r="P20">
            <v>2.5999999999999999E-2</v>
          </cell>
          <cell r="R20">
            <v>1.0252300508275299E-3</v>
          </cell>
          <cell r="S20">
            <v>0</v>
          </cell>
          <cell r="T20">
            <v>0</v>
          </cell>
        </row>
        <row r="21">
          <cell r="A21" t="str">
            <v>ApartmentHighRiseT NW APARTMENT</v>
          </cell>
          <cell r="B21" t="str">
            <v>STD2004</v>
          </cell>
          <cell r="C21" t="str">
            <v>Buffalo</v>
          </cell>
          <cell r="D21" t="str">
            <v>ApartmentHighRise</v>
          </cell>
          <cell r="E21" t="str">
            <v>T NW APARTMENT</v>
          </cell>
          <cell r="F21">
            <v>88.25</v>
          </cell>
          <cell r="G21">
            <v>1</v>
          </cell>
          <cell r="H21" t="str">
            <v>Yes</v>
          </cell>
          <cell r="I21" t="str">
            <v>AIRLOOP T NW</v>
          </cell>
          <cell r="J21">
            <v>58.52</v>
          </cell>
          <cell r="K21">
            <v>17.559999999999999</v>
          </cell>
          <cell r="L21">
            <v>17.4375</v>
          </cell>
          <cell r="M21">
            <v>35.299999999999997</v>
          </cell>
          <cell r="N21">
            <v>6.67</v>
          </cell>
          <cell r="O21">
            <v>0</v>
          </cell>
          <cell r="P21">
            <v>2.5999999999999999E-2</v>
          </cell>
          <cell r="R21">
            <v>1.0252300508275299E-3</v>
          </cell>
          <cell r="S21">
            <v>0</v>
          </cell>
          <cell r="T21">
            <v>0</v>
          </cell>
        </row>
        <row r="22">
          <cell r="A22" t="str">
            <v>ApartmentHighRiseT SE APARTMENT</v>
          </cell>
          <cell r="B22" t="str">
            <v>STD2004</v>
          </cell>
          <cell r="C22" t="str">
            <v>Buffalo</v>
          </cell>
          <cell r="D22" t="str">
            <v>ApartmentHighRise</v>
          </cell>
          <cell r="E22" t="str">
            <v>T SE APARTMENT</v>
          </cell>
          <cell r="F22">
            <v>88.25</v>
          </cell>
          <cell r="G22">
            <v>1</v>
          </cell>
          <cell r="H22" t="str">
            <v>Yes</v>
          </cell>
          <cell r="I22" t="str">
            <v>AIRLOOP T SE</v>
          </cell>
          <cell r="J22">
            <v>58.52</v>
          </cell>
          <cell r="K22">
            <v>17.559999999999999</v>
          </cell>
          <cell r="L22">
            <v>17.4375</v>
          </cell>
          <cell r="M22">
            <v>35.299999999999997</v>
          </cell>
          <cell r="N22">
            <v>6.67</v>
          </cell>
          <cell r="O22">
            <v>0</v>
          </cell>
          <cell r="P22">
            <v>2.5999999999999999E-2</v>
          </cell>
          <cell r="R22">
            <v>1.0252300508275299E-3</v>
          </cell>
          <cell r="S22">
            <v>0</v>
          </cell>
          <cell r="T22">
            <v>0</v>
          </cell>
        </row>
        <row r="23">
          <cell r="A23" t="str">
            <v>ApartmentHighRiseT NE APARTMENT</v>
          </cell>
          <cell r="B23" t="str">
            <v>STD2004</v>
          </cell>
          <cell r="C23" t="str">
            <v>Buffalo</v>
          </cell>
          <cell r="D23" t="str">
            <v>ApartmentHighRise</v>
          </cell>
          <cell r="E23" t="str">
            <v>T NE APARTMENT</v>
          </cell>
          <cell r="F23">
            <v>88.25</v>
          </cell>
          <cell r="G23">
            <v>1</v>
          </cell>
          <cell r="H23" t="str">
            <v>Yes</v>
          </cell>
          <cell r="I23" t="str">
            <v>AIRLOOP T NE</v>
          </cell>
          <cell r="J23">
            <v>58.52</v>
          </cell>
          <cell r="K23">
            <v>17.559999999999999</v>
          </cell>
          <cell r="L23">
            <v>17.4375</v>
          </cell>
          <cell r="M23">
            <v>35.299999999999997</v>
          </cell>
          <cell r="N23">
            <v>6.67</v>
          </cell>
          <cell r="O23">
            <v>0</v>
          </cell>
          <cell r="P23">
            <v>2.5999999999999999E-2</v>
          </cell>
          <cell r="R23">
            <v>1.0252300508275299E-3</v>
          </cell>
          <cell r="S23">
            <v>0</v>
          </cell>
          <cell r="T23">
            <v>0</v>
          </cell>
        </row>
        <row r="24">
          <cell r="A24" t="str">
            <v>ApartmentHighRiseT N1 APARTMENT</v>
          </cell>
          <cell r="B24" t="str">
            <v>STD2004</v>
          </cell>
          <cell r="C24" t="str">
            <v>Buffalo</v>
          </cell>
          <cell r="D24" t="str">
            <v>ApartmentHighRise</v>
          </cell>
          <cell r="E24" t="str">
            <v>T N1 APARTMENT</v>
          </cell>
          <cell r="F24">
            <v>88.25</v>
          </cell>
          <cell r="G24">
            <v>1</v>
          </cell>
          <cell r="H24" t="str">
            <v>Yes</v>
          </cell>
          <cell r="I24" t="str">
            <v>AIRLOOP T N1</v>
          </cell>
          <cell r="J24">
            <v>35.299999999999997</v>
          </cell>
          <cell r="K24">
            <v>10.59</v>
          </cell>
          <cell r="L24">
            <v>17.4375</v>
          </cell>
          <cell r="M24">
            <v>35.299999999999997</v>
          </cell>
          <cell r="N24">
            <v>6.67</v>
          </cell>
          <cell r="O24">
            <v>0</v>
          </cell>
          <cell r="P24">
            <v>2.5999999999999999E-2</v>
          </cell>
          <cell r="R24">
            <v>1.0252300508275299E-3</v>
          </cell>
          <cell r="S24">
            <v>0</v>
          </cell>
          <cell r="T24">
            <v>0</v>
          </cell>
        </row>
        <row r="25">
          <cell r="A25" t="str">
            <v>ApartmentHighRiseT N2 APARTMENT</v>
          </cell>
          <cell r="B25" t="str">
            <v>STD2004</v>
          </cell>
          <cell r="C25" t="str">
            <v>Buffalo</v>
          </cell>
          <cell r="D25" t="str">
            <v>ApartmentHighRise</v>
          </cell>
          <cell r="E25" t="str">
            <v>T N2 APARTMENT</v>
          </cell>
          <cell r="F25">
            <v>88.25</v>
          </cell>
          <cell r="G25">
            <v>1</v>
          </cell>
          <cell r="H25" t="str">
            <v>Yes</v>
          </cell>
          <cell r="I25" t="str">
            <v>AIRLOOP T N2</v>
          </cell>
          <cell r="J25">
            <v>35.299999999999997</v>
          </cell>
          <cell r="K25">
            <v>10.59</v>
          </cell>
          <cell r="L25">
            <v>17.4375</v>
          </cell>
          <cell r="M25">
            <v>35.299999999999997</v>
          </cell>
          <cell r="N25">
            <v>6.67</v>
          </cell>
          <cell r="O25">
            <v>0</v>
          </cell>
          <cell r="P25">
            <v>2.5999999999999999E-2</v>
          </cell>
          <cell r="R25">
            <v>1.0252300508275299E-3</v>
          </cell>
          <cell r="S25">
            <v>0</v>
          </cell>
          <cell r="T25">
            <v>0</v>
          </cell>
        </row>
        <row r="26">
          <cell r="A26" t="str">
            <v>ApartmentHighRiseT S1 APARTMENT</v>
          </cell>
          <cell r="B26" t="str">
            <v>STD2004</v>
          </cell>
          <cell r="C26" t="str">
            <v>Buffalo</v>
          </cell>
          <cell r="D26" t="str">
            <v>ApartmentHighRise</v>
          </cell>
          <cell r="E26" t="str">
            <v>T S1 APARTMENT</v>
          </cell>
          <cell r="F26">
            <v>88.25</v>
          </cell>
          <cell r="G26">
            <v>1</v>
          </cell>
          <cell r="H26" t="str">
            <v>Yes</v>
          </cell>
          <cell r="I26" t="str">
            <v>AIRLOOP T S1</v>
          </cell>
          <cell r="J26">
            <v>35.299999999999997</v>
          </cell>
          <cell r="K26">
            <v>10.59</v>
          </cell>
          <cell r="L26">
            <v>17.4375</v>
          </cell>
          <cell r="M26">
            <v>35.299999999999997</v>
          </cell>
          <cell r="N26">
            <v>6.67</v>
          </cell>
          <cell r="O26">
            <v>0</v>
          </cell>
          <cell r="P26">
            <v>2.5999999999999999E-2</v>
          </cell>
          <cell r="R26">
            <v>1.0252300508275299E-3</v>
          </cell>
          <cell r="S26">
            <v>0</v>
          </cell>
          <cell r="T26">
            <v>0</v>
          </cell>
        </row>
        <row r="27">
          <cell r="A27" t="str">
            <v>ApartmentHighRiseT S2 APARTMENT</v>
          </cell>
          <cell r="B27" t="str">
            <v>STD2004</v>
          </cell>
          <cell r="C27" t="str">
            <v>Buffalo</v>
          </cell>
          <cell r="D27" t="str">
            <v>ApartmentHighRise</v>
          </cell>
          <cell r="E27" t="str">
            <v>T S2 APARTMENT</v>
          </cell>
          <cell r="F27">
            <v>88.25</v>
          </cell>
          <cell r="G27">
            <v>1</v>
          </cell>
          <cell r="H27" t="str">
            <v>Yes</v>
          </cell>
          <cell r="I27" t="str">
            <v>AIRLOOP T S2</v>
          </cell>
          <cell r="J27">
            <v>35.299999999999997</v>
          </cell>
          <cell r="K27">
            <v>10.59</v>
          </cell>
          <cell r="L27">
            <v>17.4375</v>
          </cell>
          <cell r="M27">
            <v>35.299999999999997</v>
          </cell>
          <cell r="N27">
            <v>6.67</v>
          </cell>
          <cell r="O27">
            <v>0</v>
          </cell>
          <cell r="P27">
            <v>2.5999999999999999E-2</v>
          </cell>
          <cell r="R27">
            <v>1.0252300508275299E-3</v>
          </cell>
          <cell r="S27">
            <v>0</v>
          </cell>
          <cell r="T27">
            <v>0</v>
          </cell>
        </row>
        <row r="28">
          <cell r="A28" t="str">
            <v>ApartmentHighRiseT CORRIDOR</v>
          </cell>
          <cell r="B28" t="str">
            <v>STD2004</v>
          </cell>
          <cell r="C28" t="str">
            <v>Buffalo</v>
          </cell>
          <cell r="D28" t="str">
            <v>ApartmentHighRise</v>
          </cell>
          <cell r="E28" t="str">
            <v>T CORRIDOR</v>
          </cell>
          <cell r="F28">
            <v>77.66</v>
          </cell>
          <cell r="G28">
            <v>1</v>
          </cell>
          <cell r="H28" t="str">
            <v>No</v>
          </cell>
          <cell r="J28">
            <v>10.220000000000001</v>
          </cell>
          <cell r="K28">
            <v>2.23</v>
          </cell>
          <cell r="L28">
            <v>5.6509999999999998</v>
          </cell>
          <cell r="M28">
            <v>18.579999999999998</v>
          </cell>
          <cell r="N28">
            <v>223.72389999999999</v>
          </cell>
          <cell r="O28">
            <v>0</v>
          </cell>
          <cell r="R28">
            <v>1.0252300508275299E-3</v>
          </cell>
          <cell r="S28">
            <v>0</v>
          </cell>
          <cell r="T28">
            <v>0</v>
          </cell>
        </row>
        <row r="29">
          <cell r="A29" t="str">
            <v>ApartmentHighRiseTotal</v>
          </cell>
          <cell r="B29" t="str">
            <v>STD2004</v>
          </cell>
          <cell r="C29" t="str">
            <v>Buffalo</v>
          </cell>
          <cell r="D29" t="str">
            <v>ApartmentHighRise</v>
          </cell>
          <cell r="E29" t="str">
            <v>Total</v>
          </cell>
          <cell r="F29">
            <v>7836.48</v>
          </cell>
          <cell r="J29">
            <v>3855.02</v>
          </cell>
          <cell r="K29">
            <v>1150.3900000000001</v>
          </cell>
          <cell r="L29">
            <v>16.206499999999998</v>
          </cell>
          <cell r="M29">
            <v>32.11</v>
          </cell>
          <cell r="N29">
            <v>8.2261000000000006</v>
          </cell>
          <cell r="O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 t="str">
            <v>ApartmentHighRiseConditioned Total</v>
          </cell>
          <cell r="B30" t="str">
            <v>STD2004</v>
          </cell>
          <cell r="C30" t="str">
            <v>Buffalo</v>
          </cell>
          <cell r="D30" t="str">
            <v>ApartmentHighRise</v>
          </cell>
          <cell r="E30" t="str">
            <v>Conditioned Total</v>
          </cell>
          <cell r="F30">
            <v>7059.89</v>
          </cell>
          <cell r="J30">
            <v>3752.84</v>
          </cell>
          <cell r="K30">
            <v>1125.8499999999999</v>
          </cell>
          <cell r="L30">
            <v>17.367599999999999</v>
          </cell>
          <cell r="M30">
            <v>34.909999999999997</v>
          </cell>
          <cell r="N30">
            <v>6.67</v>
          </cell>
          <cell r="O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 t="str">
            <v>ApartmentHighRiseUnconditioned Total</v>
          </cell>
          <cell r="B31" t="str">
            <v>STD2004</v>
          </cell>
          <cell r="C31" t="str">
            <v>Buffalo</v>
          </cell>
          <cell r="D31" t="str">
            <v>ApartmentHighRise</v>
          </cell>
          <cell r="E31" t="str">
            <v>Unconditioned Total</v>
          </cell>
          <cell r="F31">
            <v>776.58</v>
          </cell>
          <cell r="J31">
            <v>102.18</v>
          </cell>
          <cell r="K31">
            <v>24.54</v>
          </cell>
          <cell r="L31">
            <v>5.6509999999999998</v>
          </cell>
          <cell r="M31">
            <v>18.579999999999998</v>
          </cell>
          <cell r="N31">
            <v>22.372399999999999</v>
          </cell>
          <cell r="O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 t="str">
            <v>ApartmentHighRiseNot Part of Total</v>
          </cell>
          <cell r="B32" t="str">
            <v>STD2004</v>
          </cell>
          <cell r="C32" t="str">
            <v>Buffalo</v>
          </cell>
          <cell r="D32" t="str">
            <v>ApartmentHighRise</v>
          </cell>
          <cell r="E32" t="str">
            <v>Not Part of Total</v>
          </cell>
          <cell r="F32">
            <v>0</v>
          </cell>
          <cell r="J32">
            <v>0</v>
          </cell>
          <cell r="K32">
            <v>0</v>
          </cell>
          <cell r="O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 t="str">
            <v>ApartmentMidRiseG SW APARTMENT</v>
          </cell>
          <cell r="B33" t="str">
            <v>STD2004</v>
          </cell>
          <cell r="C33" t="str">
            <v>Buffalo</v>
          </cell>
          <cell r="D33" t="str">
            <v>ApartmentMidRise</v>
          </cell>
          <cell r="E33" t="str">
            <v>G SW APARTMENT</v>
          </cell>
          <cell r="F33">
            <v>88.25</v>
          </cell>
          <cell r="G33">
            <v>1</v>
          </cell>
          <cell r="H33" t="str">
            <v>Yes</v>
          </cell>
          <cell r="I33" t="str">
            <v>SPLIT GSW</v>
          </cell>
          <cell r="J33">
            <v>58.52</v>
          </cell>
          <cell r="K33">
            <v>11.71</v>
          </cell>
          <cell r="L33">
            <v>17.4375</v>
          </cell>
          <cell r="M33">
            <v>35.299999999999997</v>
          </cell>
          <cell r="N33">
            <v>6.67</v>
          </cell>
          <cell r="O33">
            <v>0</v>
          </cell>
          <cell r="P33">
            <v>2.5999999999999999E-2</v>
          </cell>
          <cell r="R33">
            <v>1.0252300508275299E-3</v>
          </cell>
          <cell r="S33">
            <v>0</v>
          </cell>
          <cell r="T33">
            <v>0</v>
          </cell>
        </row>
        <row r="34">
          <cell r="A34" t="str">
            <v>ApartmentMidRiseG NW APARTMENT</v>
          </cell>
          <cell r="B34" t="str">
            <v>STD2004</v>
          </cell>
          <cell r="C34" t="str">
            <v>Buffalo</v>
          </cell>
          <cell r="D34" t="str">
            <v>ApartmentMidRise</v>
          </cell>
          <cell r="E34" t="str">
            <v>G NW APARTMENT</v>
          </cell>
          <cell r="F34">
            <v>88.25</v>
          </cell>
          <cell r="G34">
            <v>1</v>
          </cell>
          <cell r="H34" t="str">
            <v>Yes</v>
          </cell>
          <cell r="I34" t="str">
            <v>SPLIT GNW</v>
          </cell>
          <cell r="J34">
            <v>58.52</v>
          </cell>
          <cell r="K34">
            <v>11.71</v>
          </cell>
          <cell r="L34">
            <v>17.4375</v>
          </cell>
          <cell r="M34">
            <v>35.299999999999997</v>
          </cell>
          <cell r="N34">
            <v>6.67</v>
          </cell>
          <cell r="O34">
            <v>0</v>
          </cell>
          <cell r="P34">
            <v>2.5999999999999999E-2</v>
          </cell>
          <cell r="R34">
            <v>1.0252300508275299E-3</v>
          </cell>
          <cell r="S34">
            <v>0</v>
          </cell>
          <cell r="T34">
            <v>0</v>
          </cell>
        </row>
        <row r="35">
          <cell r="A35" t="str">
            <v>ApartmentMidRiseOFFICE</v>
          </cell>
          <cell r="B35" t="str">
            <v>STD2004</v>
          </cell>
          <cell r="C35" t="str">
            <v>Buffalo</v>
          </cell>
          <cell r="D35" t="str">
            <v>ApartmentMidRise</v>
          </cell>
          <cell r="E35" t="str">
            <v>OFFICE</v>
          </cell>
          <cell r="F35">
            <v>88.25</v>
          </cell>
          <cell r="G35">
            <v>1</v>
          </cell>
          <cell r="H35" t="str">
            <v>Yes</v>
          </cell>
          <cell r="I35" t="str">
            <v>SPLIT OFFICE</v>
          </cell>
          <cell r="J35">
            <v>58.52</v>
          </cell>
          <cell r="K35">
            <v>11.71</v>
          </cell>
          <cell r="L35">
            <v>11.840299999999999</v>
          </cell>
          <cell r="M35">
            <v>18.579999999999998</v>
          </cell>
          <cell r="N35">
            <v>6.67</v>
          </cell>
          <cell r="O35">
            <v>0</v>
          </cell>
          <cell r="P35">
            <v>4.48E-2</v>
          </cell>
          <cell r="R35">
            <v>1.0252300508275299E-3</v>
          </cell>
          <cell r="S35">
            <v>0</v>
          </cell>
          <cell r="T35">
            <v>0</v>
          </cell>
        </row>
        <row r="36">
          <cell r="A36" t="str">
            <v>ApartmentMidRiseG NE APARTMENT</v>
          </cell>
          <cell r="B36" t="str">
            <v>STD2004</v>
          </cell>
          <cell r="C36" t="str">
            <v>Buffalo</v>
          </cell>
          <cell r="D36" t="str">
            <v>ApartmentMidRise</v>
          </cell>
          <cell r="E36" t="str">
            <v>G NE APARTMENT</v>
          </cell>
          <cell r="F36">
            <v>88.25</v>
          </cell>
          <cell r="G36">
            <v>1</v>
          </cell>
          <cell r="H36" t="str">
            <v>Yes</v>
          </cell>
          <cell r="I36" t="str">
            <v>SPLIT GNE</v>
          </cell>
          <cell r="J36">
            <v>58.52</v>
          </cell>
          <cell r="K36">
            <v>11.71</v>
          </cell>
          <cell r="L36">
            <v>17.4375</v>
          </cell>
          <cell r="M36">
            <v>35.299999999999997</v>
          </cell>
          <cell r="N36">
            <v>6.67</v>
          </cell>
          <cell r="O36">
            <v>0</v>
          </cell>
          <cell r="P36">
            <v>2.5999999999999999E-2</v>
          </cell>
          <cell r="R36">
            <v>1.0252300508275299E-3</v>
          </cell>
          <cell r="S36">
            <v>0</v>
          </cell>
          <cell r="T36">
            <v>0</v>
          </cell>
        </row>
        <row r="37">
          <cell r="A37" t="str">
            <v>ApartmentMidRiseG N1 APARTMENT</v>
          </cell>
          <cell r="B37" t="str">
            <v>STD2004</v>
          </cell>
          <cell r="C37" t="str">
            <v>Buffalo</v>
          </cell>
          <cell r="D37" t="str">
            <v>ApartmentMidRise</v>
          </cell>
          <cell r="E37" t="str">
            <v>G N1 APARTMENT</v>
          </cell>
          <cell r="F37">
            <v>88.25</v>
          </cell>
          <cell r="G37">
            <v>1</v>
          </cell>
          <cell r="H37" t="str">
            <v>Yes</v>
          </cell>
          <cell r="I37" t="str">
            <v>SPLIT GN1</v>
          </cell>
          <cell r="J37">
            <v>35.299999999999997</v>
          </cell>
          <cell r="K37">
            <v>7.06</v>
          </cell>
          <cell r="L37">
            <v>17.4375</v>
          </cell>
          <cell r="M37">
            <v>35.299999999999997</v>
          </cell>
          <cell r="N37">
            <v>6.67</v>
          </cell>
          <cell r="O37">
            <v>0</v>
          </cell>
          <cell r="P37">
            <v>2.5999999999999999E-2</v>
          </cell>
          <cell r="R37">
            <v>1.0252300508275299E-3</v>
          </cell>
          <cell r="S37">
            <v>0</v>
          </cell>
          <cell r="T37">
            <v>0</v>
          </cell>
        </row>
        <row r="38">
          <cell r="A38" t="str">
            <v>ApartmentMidRiseG N2 APARTMENT</v>
          </cell>
          <cell r="B38" t="str">
            <v>STD2004</v>
          </cell>
          <cell r="C38" t="str">
            <v>Buffalo</v>
          </cell>
          <cell r="D38" t="str">
            <v>ApartmentMidRise</v>
          </cell>
          <cell r="E38" t="str">
            <v>G N2 APARTMENT</v>
          </cell>
          <cell r="F38">
            <v>88.25</v>
          </cell>
          <cell r="G38">
            <v>1</v>
          </cell>
          <cell r="H38" t="str">
            <v>Yes</v>
          </cell>
          <cell r="I38" t="str">
            <v>SPLIT GN2</v>
          </cell>
          <cell r="J38">
            <v>35.299999999999997</v>
          </cell>
          <cell r="K38">
            <v>7.06</v>
          </cell>
          <cell r="L38">
            <v>17.4375</v>
          </cell>
          <cell r="M38">
            <v>35.299999999999997</v>
          </cell>
          <cell r="N38">
            <v>6.67</v>
          </cell>
          <cell r="O38">
            <v>0</v>
          </cell>
          <cell r="P38">
            <v>2.5999999999999999E-2</v>
          </cell>
          <cell r="R38">
            <v>1.0252300508275299E-3</v>
          </cell>
          <cell r="S38">
            <v>0</v>
          </cell>
          <cell r="T38">
            <v>0</v>
          </cell>
        </row>
        <row r="39">
          <cell r="A39" t="str">
            <v>ApartmentMidRiseG S1 APARTMENT</v>
          </cell>
          <cell r="B39" t="str">
            <v>STD2004</v>
          </cell>
          <cell r="C39" t="str">
            <v>Buffalo</v>
          </cell>
          <cell r="D39" t="str">
            <v>ApartmentMidRise</v>
          </cell>
          <cell r="E39" t="str">
            <v>G S1 APARTMENT</v>
          </cell>
          <cell r="F39">
            <v>88.25</v>
          </cell>
          <cell r="G39">
            <v>1</v>
          </cell>
          <cell r="H39" t="str">
            <v>Yes</v>
          </cell>
          <cell r="I39" t="str">
            <v>SPLIT GS1</v>
          </cell>
          <cell r="J39">
            <v>35.299999999999997</v>
          </cell>
          <cell r="K39">
            <v>7.06</v>
          </cell>
          <cell r="L39">
            <v>17.4375</v>
          </cell>
          <cell r="M39">
            <v>35.299999999999997</v>
          </cell>
          <cell r="N39">
            <v>6.67</v>
          </cell>
          <cell r="O39">
            <v>0</v>
          </cell>
          <cell r="P39">
            <v>2.5999999999999999E-2</v>
          </cell>
          <cell r="R39">
            <v>1.0252300508275299E-3</v>
          </cell>
          <cell r="S39">
            <v>0</v>
          </cell>
          <cell r="T39">
            <v>0</v>
          </cell>
        </row>
        <row r="40">
          <cell r="A40" t="str">
            <v>ApartmentMidRiseG S2 APARTMENT</v>
          </cell>
          <cell r="B40" t="str">
            <v>STD2004</v>
          </cell>
          <cell r="C40" t="str">
            <v>Buffalo</v>
          </cell>
          <cell r="D40" t="str">
            <v>ApartmentMidRise</v>
          </cell>
          <cell r="E40" t="str">
            <v>G S2 APARTMENT</v>
          </cell>
          <cell r="F40">
            <v>88.25</v>
          </cell>
          <cell r="G40">
            <v>1</v>
          </cell>
          <cell r="H40" t="str">
            <v>Yes</v>
          </cell>
          <cell r="I40" t="str">
            <v>SPLIT GS2</v>
          </cell>
          <cell r="J40">
            <v>35.299999999999997</v>
          </cell>
          <cell r="K40">
            <v>7.06</v>
          </cell>
          <cell r="L40">
            <v>17.4375</v>
          </cell>
          <cell r="M40">
            <v>35.299999999999997</v>
          </cell>
          <cell r="N40">
            <v>6.67</v>
          </cell>
          <cell r="O40">
            <v>0</v>
          </cell>
          <cell r="P40">
            <v>2.5999999999999999E-2</v>
          </cell>
          <cell r="R40">
            <v>1.0252300508275299E-3</v>
          </cell>
          <cell r="S40">
            <v>0</v>
          </cell>
          <cell r="T40">
            <v>0</v>
          </cell>
        </row>
        <row r="41">
          <cell r="A41" t="str">
            <v>ApartmentMidRiseM SW APARTMENT</v>
          </cell>
          <cell r="B41" t="str">
            <v>STD2004</v>
          </cell>
          <cell r="C41" t="str">
            <v>Buffalo</v>
          </cell>
          <cell r="D41" t="str">
            <v>ApartmentMidRise</v>
          </cell>
          <cell r="E41" t="str">
            <v>M SW APARTMENT</v>
          </cell>
          <cell r="F41">
            <v>88.25</v>
          </cell>
          <cell r="G41">
            <v>2</v>
          </cell>
          <cell r="H41" t="str">
            <v>Yes</v>
          </cell>
          <cell r="I41" t="str">
            <v>SPLIT MSW</v>
          </cell>
          <cell r="J41">
            <v>58.52</v>
          </cell>
          <cell r="K41">
            <v>11.71</v>
          </cell>
          <cell r="L41">
            <v>17.4375</v>
          </cell>
          <cell r="M41">
            <v>35.299999999999997</v>
          </cell>
          <cell r="N41">
            <v>6.67</v>
          </cell>
          <cell r="O41">
            <v>0</v>
          </cell>
          <cell r="P41">
            <v>5.1900000000000002E-2</v>
          </cell>
          <cell r="R41">
            <v>1.0252300508275299E-3</v>
          </cell>
          <cell r="S41">
            <v>0</v>
          </cell>
          <cell r="T41">
            <v>0</v>
          </cell>
        </row>
        <row r="42">
          <cell r="A42" t="str">
            <v>ApartmentMidRiseM NW APARTMENT</v>
          </cell>
          <cell r="B42" t="str">
            <v>STD2004</v>
          </cell>
          <cell r="C42" t="str">
            <v>Buffalo</v>
          </cell>
          <cell r="D42" t="str">
            <v>ApartmentMidRise</v>
          </cell>
          <cell r="E42" t="str">
            <v>M NW APARTMENT</v>
          </cell>
          <cell r="F42">
            <v>88.25</v>
          </cell>
          <cell r="G42">
            <v>2</v>
          </cell>
          <cell r="H42" t="str">
            <v>Yes</v>
          </cell>
          <cell r="I42" t="str">
            <v>SPLIT MNW</v>
          </cell>
          <cell r="J42">
            <v>58.52</v>
          </cell>
          <cell r="K42">
            <v>11.71</v>
          </cell>
          <cell r="L42">
            <v>17.4375</v>
          </cell>
          <cell r="M42">
            <v>35.299999999999997</v>
          </cell>
          <cell r="N42">
            <v>6.67</v>
          </cell>
          <cell r="O42">
            <v>0</v>
          </cell>
          <cell r="P42">
            <v>5.1900000000000002E-2</v>
          </cell>
          <cell r="R42">
            <v>1.0252300508275299E-3</v>
          </cell>
          <cell r="S42">
            <v>0</v>
          </cell>
          <cell r="T42">
            <v>0</v>
          </cell>
        </row>
        <row r="43">
          <cell r="A43" t="str">
            <v>ApartmentMidRiseM SE APARTMENT</v>
          </cell>
          <cell r="B43" t="str">
            <v>STD2004</v>
          </cell>
          <cell r="C43" t="str">
            <v>Buffalo</v>
          </cell>
          <cell r="D43" t="str">
            <v>ApartmentMidRise</v>
          </cell>
          <cell r="E43" t="str">
            <v>M SE APARTMENT</v>
          </cell>
          <cell r="F43">
            <v>88.25</v>
          </cell>
          <cell r="G43">
            <v>2</v>
          </cell>
          <cell r="H43" t="str">
            <v>Yes</v>
          </cell>
          <cell r="I43" t="str">
            <v>SPLIT MSE</v>
          </cell>
          <cell r="J43">
            <v>58.52</v>
          </cell>
          <cell r="K43">
            <v>11.71</v>
          </cell>
          <cell r="L43">
            <v>17.4375</v>
          </cell>
          <cell r="M43">
            <v>35.299999999999997</v>
          </cell>
          <cell r="N43">
            <v>6.67</v>
          </cell>
          <cell r="O43">
            <v>0</v>
          </cell>
          <cell r="P43">
            <v>5.1900000000000002E-2</v>
          </cell>
          <cell r="R43">
            <v>1.0252300508275299E-3</v>
          </cell>
          <cell r="S43">
            <v>0</v>
          </cell>
          <cell r="T43">
            <v>0</v>
          </cell>
        </row>
        <row r="44">
          <cell r="A44" t="str">
            <v>ApartmentMidRiseM NE APARTMENT</v>
          </cell>
          <cell r="B44" t="str">
            <v>STD2004</v>
          </cell>
          <cell r="C44" t="str">
            <v>Buffalo</v>
          </cell>
          <cell r="D44" t="str">
            <v>ApartmentMidRise</v>
          </cell>
          <cell r="E44" t="str">
            <v>M NE APARTMENT</v>
          </cell>
          <cell r="F44">
            <v>88.25</v>
          </cell>
          <cell r="G44">
            <v>2</v>
          </cell>
          <cell r="H44" t="str">
            <v>Yes</v>
          </cell>
          <cell r="I44" t="str">
            <v>SPLIT MNE</v>
          </cell>
          <cell r="J44">
            <v>58.52</v>
          </cell>
          <cell r="K44">
            <v>11.71</v>
          </cell>
          <cell r="L44">
            <v>17.4375</v>
          </cell>
          <cell r="M44">
            <v>35.299999999999997</v>
          </cell>
          <cell r="N44">
            <v>6.67</v>
          </cell>
          <cell r="O44">
            <v>0</v>
          </cell>
          <cell r="P44">
            <v>5.1900000000000002E-2</v>
          </cell>
          <cell r="R44">
            <v>1.0252300508275299E-3</v>
          </cell>
          <cell r="S44">
            <v>0</v>
          </cell>
          <cell r="T44">
            <v>0</v>
          </cell>
        </row>
        <row r="45">
          <cell r="A45" t="str">
            <v>ApartmentMidRiseM N1 APARTMENT</v>
          </cell>
          <cell r="B45" t="str">
            <v>STD2004</v>
          </cell>
          <cell r="C45" t="str">
            <v>Buffalo</v>
          </cell>
          <cell r="D45" t="str">
            <v>ApartmentMidRise</v>
          </cell>
          <cell r="E45" t="str">
            <v>M N1 APARTMENT</v>
          </cell>
          <cell r="F45">
            <v>88.25</v>
          </cell>
          <cell r="G45">
            <v>2</v>
          </cell>
          <cell r="H45" t="str">
            <v>Yes</v>
          </cell>
          <cell r="I45" t="str">
            <v>SPLIT MN1</v>
          </cell>
          <cell r="J45">
            <v>35.299999999999997</v>
          </cell>
          <cell r="K45">
            <v>7.06</v>
          </cell>
          <cell r="L45">
            <v>17.4375</v>
          </cell>
          <cell r="M45">
            <v>35.299999999999997</v>
          </cell>
          <cell r="N45">
            <v>6.67</v>
          </cell>
          <cell r="O45">
            <v>0</v>
          </cell>
          <cell r="P45">
            <v>5.1900000000000002E-2</v>
          </cell>
          <cell r="R45">
            <v>1.0252300508275299E-3</v>
          </cell>
          <cell r="S45">
            <v>0</v>
          </cell>
          <cell r="T45">
            <v>0</v>
          </cell>
        </row>
        <row r="46">
          <cell r="A46" t="str">
            <v>ApartmentMidRiseM N2 APARTMENT</v>
          </cell>
          <cell r="B46" t="str">
            <v>STD2004</v>
          </cell>
          <cell r="C46" t="str">
            <v>Buffalo</v>
          </cell>
          <cell r="D46" t="str">
            <v>ApartmentMidRise</v>
          </cell>
          <cell r="E46" t="str">
            <v>M N2 APARTMENT</v>
          </cell>
          <cell r="F46">
            <v>88.25</v>
          </cell>
          <cell r="G46">
            <v>2</v>
          </cell>
          <cell r="H46" t="str">
            <v>Yes</v>
          </cell>
          <cell r="I46" t="str">
            <v>SPLIT MN2</v>
          </cell>
          <cell r="J46">
            <v>35.299999999999997</v>
          </cell>
          <cell r="K46">
            <v>7.06</v>
          </cell>
          <cell r="L46">
            <v>17.4375</v>
          </cell>
          <cell r="M46">
            <v>35.299999999999997</v>
          </cell>
          <cell r="N46">
            <v>6.67</v>
          </cell>
          <cell r="O46">
            <v>0</v>
          </cell>
          <cell r="P46">
            <v>5.1900000000000002E-2</v>
          </cell>
          <cell r="R46">
            <v>1.0252300508275299E-3</v>
          </cell>
          <cell r="S46">
            <v>0</v>
          </cell>
          <cell r="T46">
            <v>0</v>
          </cell>
        </row>
        <row r="47">
          <cell r="A47" t="str">
            <v>ApartmentMidRiseM S1 APARTMENT</v>
          </cell>
          <cell r="B47" t="str">
            <v>STD2004</v>
          </cell>
          <cell r="C47" t="str">
            <v>Buffalo</v>
          </cell>
          <cell r="D47" t="str">
            <v>ApartmentMidRise</v>
          </cell>
          <cell r="E47" t="str">
            <v>M S1 APARTMENT</v>
          </cell>
          <cell r="F47">
            <v>88.25</v>
          </cell>
          <cell r="G47">
            <v>2</v>
          </cell>
          <cell r="H47" t="str">
            <v>Yes</v>
          </cell>
          <cell r="I47" t="str">
            <v>SPLIT MS1</v>
          </cell>
          <cell r="J47">
            <v>35.299999999999997</v>
          </cell>
          <cell r="K47">
            <v>7.06</v>
          </cell>
          <cell r="L47">
            <v>17.4375</v>
          </cell>
          <cell r="M47">
            <v>35.299999999999997</v>
          </cell>
          <cell r="N47">
            <v>6.67</v>
          </cell>
          <cell r="O47">
            <v>0</v>
          </cell>
          <cell r="P47">
            <v>5.1900000000000002E-2</v>
          </cell>
          <cell r="R47">
            <v>1.0252300508275299E-3</v>
          </cell>
          <cell r="S47">
            <v>0</v>
          </cell>
          <cell r="T47">
            <v>0</v>
          </cell>
        </row>
        <row r="48">
          <cell r="A48" t="str">
            <v>ApartmentMidRiseM S2 APARTMENT</v>
          </cell>
          <cell r="B48" t="str">
            <v>STD2004</v>
          </cell>
          <cell r="C48" t="str">
            <v>Buffalo</v>
          </cell>
          <cell r="D48" t="str">
            <v>ApartmentMidRise</v>
          </cell>
          <cell r="E48" t="str">
            <v>M S2 APARTMENT</v>
          </cell>
          <cell r="F48">
            <v>88.25</v>
          </cell>
          <cell r="G48">
            <v>2</v>
          </cell>
          <cell r="H48" t="str">
            <v>Yes</v>
          </cell>
          <cell r="I48" t="str">
            <v>SPLIT MS2</v>
          </cell>
          <cell r="J48">
            <v>35.299999999999997</v>
          </cell>
          <cell r="K48">
            <v>7.06</v>
          </cell>
          <cell r="L48">
            <v>17.4375</v>
          </cell>
          <cell r="M48">
            <v>35.299999999999997</v>
          </cell>
          <cell r="N48">
            <v>6.67</v>
          </cell>
          <cell r="O48">
            <v>0</v>
          </cell>
          <cell r="P48">
            <v>5.1900000000000002E-2</v>
          </cell>
          <cell r="R48">
            <v>1.0252300508275299E-3</v>
          </cell>
          <cell r="S48">
            <v>0</v>
          </cell>
          <cell r="T48">
            <v>0</v>
          </cell>
        </row>
        <row r="49">
          <cell r="A49" t="str">
            <v>ApartmentMidRiseT SW APARTMENT</v>
          </cell>
          <cell r="B49" t="str">
            <v>STD2004</v>
          </cell>
          <cell r="C49" t="str">
            <v>Buffalo</v>
          </cell>
          <cell r="D49" t="str">
            <v>ApartmentMidRise</v>
          </cell>
          <cell r="E49" t="str">
            <v>T SW APARTMENT</v>
          </cell>
          <cell r="F49">
            <v>88.25</v>
          </cell>
          <cell r="G49">
            <v>1</v>
          </cell>
          <cell r="H49" t="str">
            <v>Yes</v>
          </cell>
          <cell r="I49" t="str">
            <v>SPLIT TSW</v>
          </cell>
          <cell r="J49">
            <v>58.52</v>
          </cell>
          <cell r="K49">
            <v>11.71</v>
          </cell>
          <cell r="L49">
            <v>17.4375</v>
          </cell>
          <cell r="M49">
            <v>35.299999999999997</v>
          </cell>
          <cell r="N49">
            <v>6.67</v>
          </cell>
          <cell r="O49">
            <v>0</v>
          </cell>
          <cell r="P49">
            <v>2.5999999999999999E-2</v>
          </cell>
          <cell r="R49">
            <v>1.0252300508275299E-3</v>
          </cell>
          <cell r="S49">
            <v>0</v>
          </cell>
          <cell r="T49">
            <v>0</v>
          </cell>
        </row>
        <row r="50">
          <cell r="A50" t="str">
            <v>ApartmentMidRiseT NW APARTMENT</v>
          </cell>
          <cell r="B50" t="str">
            <v>STD2004</v>
          </cell>
          <cell r="C50" t="str">
            <v>Buffalo</v>
          </cell>
          <cell r="D50" t="str">
            <v>ApartmentMidRise</v>
          </cell>
          <cell r="E50" t="str">
            <v>T NW APARTMENT</v>
          </cell>
          <cell r="F50">
            <v>88.25</v>
          </cell>
          <cell r="G50">
            <v>1</v>
          </cell>
          <cell r="H50" t="str">
            <v>Yes</v>
          </cell>
          <cell r="I50" t="str">
            <v>SPLIT TNW</v>
          </cell>
          <cell r="J50">
            <v>58.52</v>
          </cell>
          <cell r="K50">
            <v>11.71</v>
          </cell>
          <cell r="L50">
            <v>17.4375</v>
          </cell>
          <cell r="M50">
            <v>35.299999999999997</v>
          </cell>
          <cell r="N50">
            <v>6.67</v>
          </cell>
          <cell r="O50">
            <v>0</v>
          </cell>
          <cell r="P50">
            <v>2.5999999999999999E-2</v>
          </cell>
          <cell r="R50">
            <v>1.0252300508275299E-3</v>
          </cell>
          <cell r="S50">
            <v>0</v>
          </cell>
          <cell r="T50">
            <v>0</v>
          </cell>
        </row>
        <row r="51">
          <cell r="A51" t="str">
            <v>ApartmentMidRiseT SE APARTMENT</v>
          </cell>
          <cell r="B51" t="str">
            <v>STD2004</v>
          </cell>
          <cell r="C51" t="str">
            <v>Buffalo</v>
          </cell>
          <cell r="D51" t="str">
            <v>ApartmentMidRise</v>
          </cell>
          <cell r="E51" t="str">
            <v>T SE APARTMENT</v>
          </cell>
          <cell r="F51">
            <v>88.25</v>
          </cell>
          <cell r="G51">
            <v>1</v>
          </cell>
          <cell r="H51" t="str">
            <v>Yes</v>
          </cell>
          <cell r="I51" t="str">
            <v>SPLIT TSE</v>
          </cell>
          <cell r="J51">
            <v>58.52</v>
          </cell>
          <cell r="K51">
            <v>11.71</v>
          </cell>
          <cell r="L51">
            <v>17.4375</v>
          </cell>
          <cell r="M51">
            <v>35.299999999999997</v>
          </cell>
          <cell r="N51">
            <v>6.67</v>
          </cell>
          <cell r="O51">
            <v>0</v>
          </cell>
          <cell r="P51">
            <v>2.5999999999999999E-2</v>
          </cell>
          <cell r="R51">
            <v>1.0252300508275299E-3</v>
          </cell>
          <cell r="S51">
            <v>0</v>
          </cell>
          <cell r="T51">
            <v>0</v>
          </cell>
        </row>
        <row r="52">
          <cell r="A52" t="str">
            <v>ApartmentMidRiseT NE APARTMENT</v>
          </cell>
          <cell r="B52" t="str">
            <v>STD2004</v>
          </cell>
          <cell r="C52" t="str">
            <v>Buffalo</v>
          </cell>
          <cell r="D52" t="str">
            <v>ApartmentMidRise</v>
          </cell>
          <cell r="E52" t="str">
            <v>T NE APARTMENT</v>
          </cell>
          <cell r="F52">
            <v>88.25</v>
          </cell>
          <cell r="G52">
            <v>1</v>
          </cell>
          <cell r="H52" t="str">
            <v>Yes</v>
          </cell>
          <cell r="I52" t="str">
            <v>SPLIT TNE</v>
          </cell>
          <cell r="J52">
            <v>58.52</v>
          </cell>
          <cell r="K52">
            <v>11.71</v>
          </cell>
          <cell r="L52">
            <v>17.4375</v>
          </cell>
          <cell r="M52">
            <v>35.299999999999997</v>
          </cell>
          <cell r="N52">
            <v>6.67</v>
          </cell>
          <cell r="O52">
            <v>0</v>
          </cell>
          <cell r="P52">
            <v>2.5999999999999999E-2</v>
          </cell>
          <cell r="R52">
            <v>1.0252300508275299E-3</v>
          </cell>
          <cell r="S52">
            <v>0</v>
          </cell>
          <cell r="T52">
            <v>0</v>
          </cell>
        </row>
        <row r="53">
          <cell r="A53" t="str">
            <v>ApartmentMidRiseT N1 APARTMENT</v>
          </cell>
          <cell r="B53" t="str">
            <v>STD2004</v>
          </cell>
          <cell r="C53" t="str">
            <v>Buffalo</v>
          </cell>
          <cell r="D53" t="str">
            <v>ApartmentMidRise</v>
          </cell>
          <cell r="E53" t="str">
            <v>T N1 APARTMENT</v>
          </cell>
          <cell r="F53">
            <v>88.25</v>
          </cell>
          <cell r="G53">
            <v>1</v>
          </cell>
          <cell r="H53" t="str">
            <v>Yes</v>
          </cell>
          <cell r="I53" t="str">
            <v>SPLIT TN1</v>
          </cell>
          <cell r="J53">
            <v>35.299999999999997</v>
          </cell>
          <cell r="K53">
            <v>7.06</v>
          </cell>
          <cell r="L53">
            <v>17.4375</v>
          </cell>
          <cell r="M53">
            <v>35.299999999999997</v>
          </cell>
          <cell r="N53">
            <v>6.67</v>
          </cell>
          <cell r="O53">
            <v>0</v>
          </cell>
          <cell r="P53">
            <v>2.5999999999999999E-2</v>
          </cell>
          <cell r="R53">
            <v>1.0252300508275299E-3</v>
          </cell>
          <cell r="S53">
            <v>0</v>
          </cell>
          <cell r="T53">
            <v>0</v>
          </cell>
        </row>
        <row r="54">
          <cell r="A54" t="str">
            <v>ApartmentMidRiseT N2 APARTMENT</v>
          </cell>
          <cell r="B54" t="str">
            <v>STD2004</v>
          </cell>
          <cell r="C54" t="str">
            <v>Buffalo</v>
          </cell>
          <cell r="D54" t="str">
            <v>ApartmentMidRise</v>
          </cell>
          <cell r="E54" t="str">
            <v>T N2 APARTMENT</v>
          </cell>
          <cell r="F54">
            <v>88.25</v>
          </cell>
          <cell r="G54">
            <v>1</v>
          </cell>
          <cell r="H54" t="str">
            <v>Yes</v>
          </cell>
          <cell r="I54" t="str">
            <v>SPLIT TN2</v>
          </cell>
          <cell r="J54">
            <v>35.299999999999997</v>
          </cell>
          <cell r="K54">
            <v>7.06</v>
          </cell>
          <cell r="L54">
            <v>17.4375</v>
          </cell>
          <cell r="M54">
            <v>35.299999999999997</v>
          </cell>
          <cell r="N54">
            <v>6.67</v>
          </cell>
          <cell r="O54">
            <v>0</v>
          </cell>
          <cell r="P54">
            <v>2.5999999999999999E-2</v>
          </cell>
          <cell r="R54">
            <v>1.0252300508275299E-3</v>
          </cell>
          <cell r="S54">
            <v>0</v>
          </cell>
          <cell r="T54">
            <v>0</v>
          </cell>
        </row>
        <row r="55">
          <cell r="A55" t="str">
            <v>ApartmentMidRiseT S1 APARTMENT</v>
          </cell>
          <cell r="B55" t="str">
            <v>STD2004</v>
          </cell>
          <cell r="C55" t="str">
            <v>Buffalo</v>
          </cell>
          <cell r="D55" t="str">
            <v>ApartmentMidRise</v>
          </cell>
          <cell r="E55" t="str">
            <v>T S1 APARTMENT</v>
          </cell>
          <cell r="F55">
            <v>88.25</v>
          </cell>
          <cell r="G55">
            <v>1</v>
          </cell>
          <cell r="H55" t="str">
            <v>Yes</v>
          </cell>
          <cell r="I55" t="str">
            <v>SPLIT TS1</v>
          </cell>
          <cell r="J55">
            <v>35.299999999999997</v>
          </cell>
          <cell r="K55">
            <v>7.06</v>
          </cell>
          <cell r="L55">
            <v>17.4375</v>
          </cell>
          <cell r="M55">
            <v>35.299999999999997</v>
          </cell>
          <cell r="N55">
            <v>6.67</v>
          </cell>
          <cell r="O55">
            <v>0</v>
          </cell>
          <cell r="P55">
            <v>2.5999999999999999E-2</v>
          </cell>
          <cell r="R55">
            <v>1.0252300508275299E-3</v>
          </cell>
          <cell r="S55">
            <v>0</v>
          </cell>
          <cell r="T55">
            <v>0</v>
          </cell>
        </row>
        <row r="56">
          <cell r="A56" t="str">
            <v>ApartmentMidRiseT S2 APARTMENT</v>
          </cell>
          <cell r="B56" t="str">
            <v>STD2004</v>
          </cell>
          <cell r="C56" t="str">
            <v>Buffalo</v>
          </cell>
          <cell r="D56" t="str">
            <v>ApartmentMidRise</v>
          </cell>
          <cell r="E56" t="str">
            <v>T S2 APARTMENT</v>
          </cell>
          <cell r="F56">
            <v>88.25</v>
          </cell>
          <cell r="G56">
            <v>1</v>
          </cell>
          <cell r="H56" t="str">
            <v>Yes</v>
          </cell>
          <cell r="I56" t="str">
            <v>SPLIT TS2</v>
          </cell>
          <cell r="J56">
            <v>35.299999999999997</v>
          </cell>
          <cell r="K56">
            <v>7.06</v>
          </cell>
          <cell r="L56">
            <v>17.4375</v>
          </cell>
          <cell r="M56">
            <v>35.299999999999997</v>
          </cell>
          <cell r="N56">
            <v>6.67</v>
          </cell>
          <cell r="O56">
            <v>0</v>
          </cell>
          <cell r="P56">
            <v>2.5999999999999999E-2</v>
          </cell>
          <cell r="R56">
            <v>1.0252300508275299E-3</v>
          </cell>
          <cell r="S56">
            <v>0</v>
          </cell>
          <cell r="T56">
            <v>0</v>
          </cell>
        </row>
        <row r="57">
          <cell r="A57" t="str">
            <v>ApartmentMidRiseT CORRIDOR</v>
          </cell>
          <cell r="B57" t="str">
            <v>STD2004</v>
          </cell>
          <cell r="C57" t="str">
            <v>Buffalo</v>
          </cell>
          <cell r="D57" t="str">
            <v>ApartmentMidRise</v>
          </cell>
          <cell r="E57" t="str">
            <v>T CORRIDOR</v>
          </cell>
          <cell r="F57">
            <v>77.66</v>
          </cell>
          <cell r="G57">
            <v>1</v>
          </cell>
          <cell r="H57" t="str">
            <v>No</v>
          </cell>
          <cell r="J57">
            <v>10.220000000000001</v>
          </cell>
          <cell r="K57">
            <v>1.1100000000000001</v>
          </cell>
          <cell r="L57">
            <v>5.8182999999999998</v>
          </cell>
          <cell r="M57">
            <v>18.579999999999998</v>
          </cell>
          <cell r="N57">
            <v>0</v>
          </cell>
          <cell r="O57">
            <v>0</v>
          </cell>
          <cell r="R57">
            <v>1.0252300508275299E-3</v>
          </cell>
          <cell r="S57">
            <v>0</v>
          </cell>
          <cell r="T57">
            <v>0</v>
          </cell>
        </row>
        <row r="58">
          <cell r="A58" t="str">
            <v>ApartmentMidRiseG CORRIDOR</v>
          </cell>
          <cell r="B58" t="str">
            <v>STD2004</v>
          </cell>
          <cell r="C58" t="str">
            <v>Buffalo</v>
          </cell>
          <cell r="D58" t="str">
            <v>ApartmentMidRise</v>
          </cell>
          <cell r="E58" t="str">
            <v>G CORRIDOR</v>
          </cell>
          <cell r="F58">
            <v>77.66</v>
          </cell>
          <cell r="G58">
            <v>1</v>
          </cell>
          <cell r="H58" t="str">
            <v>No</v>
          </cell>
          <cell r="J58">
            <v>10.220000000000001</v>
          </cell>
          <cell r="K58">
            <v>3.32</v>
          </cell>
          <cell r="L58">
            <v>5.8182999999999998</v>
          </cell>
          <cell r="M58">
            <v>18.579999999999998</v>
          </cell>
          <cell r="N58">
            <v>105.2565</v>
          </cell>
          <cell r="O58">
            <v>0</v>
          </cell>
          <cell r="R58">
            <v>1.0252300508275299E-3</v>
          </cell>
          <cell r="S58">
            <v>0</v>
          </cell>
          <cell r="T58">
            <v>0.52055754099999996</v>
          </cell>
        </row>
        <row r="59">
          <cell r="A59" t="str">
            <v>ApartmentMidRiseM CORRIDOR</v>
          </cell>
          <cell r="B59" t="str">
            <v>STD2004</v>
          </cell>
          <cell r="C59" t="str">
            <v>Buffalo</v>
          </cell>
          <cell r="D59" t="str">
            <v>ApartmentMidRise</v>
          </cell>
          <cell r="E59" t="str">
            <v>M CORRIDOR</v>
          </cell>
          <cell r="F59">
            <v>77.66</v>
          </cell>
          <cell r="G59">
            <v>2</v>
          </cell>
          <cell r="H59" t="str">
            <v>No</v>
          </cell>
          <cell r="J59">
            <v>10.220000000000001</v>
          </cell>
          <cell r="K59">
            <v>1.1100000000000001</v>
          </cell>
          <cell r="L59">
            <v>5.8182999999999998</v>
          </cell>
          <cell r="M59">
            <v>18.579999999999998</v>
          </cell>
          <cell r="N59">
            <v>0</v>
          </cell>
          <cell r="O59">
            <v>0</v>
          </cell>
          <cell r="R59">
            <v>1.0252300508275299E-3</v>
          </cell>
          <cell r="S59">
            <v>0</v>
          </cell>
          <cell r="T59">
            <v>0</v>
          </cell>
        </row>
        <row r="60">
          <cell r="A60" t="str">
            <v>ApartmentMidRiseTotal</v>
          </cell>
          <cell r="B60" t="str">
            <v>STD2004</v>
          </cell>
          <cell r="C60" t="str">
            <v>Buffalo</v>
          </cell>
          <cell r="D60" t="str">
            <v>ApartmentMidRise</v>
          </cell>
          <cell r="E60" t="str">
            <v>Total</v>
          </cell>
          <cell r="F60">
            <v>3134.61</v>
          </cell>
          <cell r="J60">
            <v>1542.04</v>
          </cell>
          <cell r="K60">
            <v>306.92</v>
          </cell>
          <cell r="L60">
            <v>16.128499999999999</v>
          </cell>
          <cell r="M60">
            <v>31.67</v>
          </cell>
          <cell r="N60">
            <v>8.6166999999999998</v>
          </cell>
          <cell r="O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 t="str">
            <v>ApartmentMidRiseConditioned Total</v>
          </cell>
          <cell r="B61" t="str">
            <v>STD2004</v>
          </cell>
          <cell r="C61" t="str">
            <v>Buffalo</v>
          </cell>
          <cell r="D61" t="str">
            <v>ApartmentMidRise</v>
          </cell>
          <cell r="E61" t="str">
            <v>Conditioned Total</v>
          </cell>
          <cell r="F61">
            <v>2823.98</v>
          </cell>
          <cell r="J61">
            <v>1501.17</v>
          </cell>
          <cell r="K61">
            <v>300.26</v>
          </cell>
          <cell r="L61">
            <v>17.262599999999999</v>
          </cell>
          <cell r="M61">
            <v>34.33</v>
          </cell>
          <cell r="N61">
            <v>6.67</v>
          </cell>
          <cell r="O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A62" t="str">
            <v>ApartmentMidRiseUnconditioned Total</v>
          </cell>
          <cell r="B62" t="str">
            <v>STD2004</v>
          </cell>
          <cell r="C62" t="str">
            <v>Buffalo</v>
          </cell>
          <cell r="D62" t="str">
            <v>ApartmentMidRise</v>
          </cell>
          <cell r="E62" t="str">
            <v>Unconditioned Total</v>
          </cell>
          <cell r="F62">
            <v>310.64</v>
          </cell>
          <cell r="J62">
            <v>40.869999999999997</v>
          </cell>
          <cell r="K62">
            <v>6.66</v>
          </cell>
          <cell r="L62">
            <v>5.8182999999999998</v>
          </cell>
          <cell r="M62">
            <v>18.579999999999998</v>
          </cell>
          <cell r="N62">
            <v>26.3141</v>
          </cell>
          <cell r="O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 t="str">
            <v>ApartmentMidRiseNot Part of Total</v>
          </cell>
          <cell r="B63" t="str">
            <v>STD2004</v>
          </cell>
          <cell r="C63" t="str">
            <v>Buffalo</v>
          </cell>
          <cell r="D63" t="str">
            <v>ApartmentMidRise</v>
          </cell>
          <cell r="E63" t="str">
            <v>Not Part of Total</v>
          </cell>
          <cell r="F63">
            <v>0</v>
          </cell>
          <cell r="J63">
            <v>0</v>
          </cell>
          <cell r="K63">
            <v>0</v>
          </cell>
          <cell r="O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 t="str">
            <v>HospitalBASEMENT</v>
          </cell>
          <cell r="B64" t="str">
            <v>STD2004</v>
          </cell>
          <cell r="C64" t="str">
            <v>Buffalo</v>
          </cell>
          <cell r="D64" t="str">
            <v>Hospital</v>
          </cell>
          <cell r="E64" t="str">
            <v>BASEMENT</v>
          </cell>
          <cell r="F64">
            <v>3739.35</v>
          </cell>
          <cell r="G64">
            <v>1</v>
          </cell>
          <cell r="H64" t="str">
            <v>Yes</v>
          </cell>
          <cell r="I64" t="str">
            <v>VAV_1</v>
          </cell>
          <cell r="J64">
            <v>0</v>
          </cell>
          <cell r="K64">
            <v>0</v>
          </cell>
          <cell r="L64">
            <v>11.5799</v>
          </cell>
          <cell r="M64">
            <v>37.17</v>
          </cell>
          <cell r="N64">
            <v>8.07</v>
          </cell>
          <cell r="O64">
            <v>0</v>
          </cell>
          <cell r="P64">
            <v>0</v>
          </cell>
          <cell r="R64">
            <v>1.0252300508275299E-3</v>
          </cell>
          <cell r="S64">
            <v>0</v>
          </cell>
          <cell r="T64">
            <v>0</v>
          </cell>
        </row>
        <row r="65">
          <cell r="A65" t="str">
            <v>HospitalER_EXAM1_MULT4_FLR_1</v>
          </cell>
          <cell r="B65" t="str">
            <v>STD2004</v>
          </cell>
          <cell r="C65" t="str">
            <v>Buffalo</v>
          </cell>
          <cell r="D65" t="str">
            <v>Hospital</v>
          </cell>
          <cell r="E65" t="str">
            <v>ER_EXAM1_MULT4_FLR_1</v>
          </cell>
          <cell r="F65">
            <v>27.87</v>
          </cell>
          <cell r="G65">
            <v>4</v>
          </cell>
          <cell r="H65" t="str">
            <v>Yes</v>
          </cell>
          <cell r="I65" t="str">
            <v>VAV_ER</v>
          </cell>
          <cell r="J65">
            <v>26.02</v>
          </cell>
          <cell r="K65">
            <v>0</v>
          </cell>
          <cell r="L65">
            <v>16.145800000000001</v>
          </cell>
          <cell r="M65">
            <v>4.6500000000000004</v>
          </cell>
          <cell r="N65">
            <v>16.14</v>
          </cell>
          <cell r="O65">
            <v>0</v>
          </cell>
          <cell r="P65">
            <v>0.26429999999999998</v>
          </cell>
          <cell r="R65">
            <v>1.0252300508275299E-3</v>
          </cell>
          <cell r="S65">
            <v>0</v>
          </cell>
          <cell r="T65">
            <v>0</v>
          </cell>
        </row>
        <row r="66">
          <cell r="A66" t="str">
            <v>HospitalER_TRAUMA1_FLR_1</v>
          </cell>
          <cell r="B66" t="str">
            <v>STD2004</v>
          </cell>
          <cell r="C66" t="str">
            <v>Buffalo</v>
          </cell>
          <cell r="D66" t="str">
            <v>Hospital</v>
          </cell>
          <cell r="E66" t="str">
            <v>ER_TRAUMA1_FLR_1</v>
          </cell>
          <cell r="F66">
            <v>27.87</v>
          </cell>
          <cell r="G66">
            <v>1</v>
          </cell>
          <cell r="H66" t="str">
            <v>Yes</v>
          </cell>
          <cell r="I66" t="str">
            <v>VAV_ER</v>
          </cell>
          <cell r="J66">
            <v>45.53</v>
          </cell>
          <cell r="K66">
            <v>0</v>
          </cell>
          <cell r="L66">
            <v>16.145800000000001</v>
          </cell>
          <cell r="M66">
            <v>4.6500000000000004</v>
          </cell>
          <cell r="N66">
            <v>43.04</v>
          </cell>
          <cell r="O66">
            <v>0</v>
          </cell>
          <cell r="P66">
            <v>6.6100000000000006E-2</v>
          </cell>
          <cell r="R66">
            <v>1.0252300508275299E-3</v>
          </cell>
          <cell r="S66">
            <v>0</v>
          </cell>
          <cell r="T66">
            <v>0</v>
          </cell>
        </row>
        <row r="67">
          <cell r="A67" t="str">
            <v>HospitalER_EXAM3_MULT4_FLR_1</v>
          </cell>
          <cell r="B67" t="str">
            <v>STD2004</v>
          </cell>
          <cell r="C67" t="str">
            <v>Buffalo</v>
          </cell>
          <cell r="D67" t="str">
            <v>Hospital</v>
          </cell>
          <cell r="E67" t="str">
            <v>ER_EXAM3_MULT4_FLR_1</v>
          </cell>
          <cell r="F67">
            <v>27.87</v>
          </cell>
          <cell r="G67">
            <v>4</v>
          </cell>
          <cell r="H67" t="str">
            <v>Yes</v>
          </cell>
          <cell r="I67" t="str">
            <v>VAV_ER</v>
          </cell>
          <cell r="J67">
            <v>19.510000000000002</v>
          </cell>
          <cell r="K67">
            <v>0</v>
          </cell>
          <cell r="L67">
            <v>16.145800000000001</v>
          </cell>
          <cell r="M67">
            <v>4.6500000000000004</v>
          </cell>
          <cell r="N67">
            <v>16.14</v>
          </cell>
          <cell r="O67">
            <v>0</v>
          </cell>
          <cell r="P67">
            <v>0.26429999999999998</v>
          </cell>
          <cell r="R67">
            <v>1.0252300508275299E-3</v>
          </cell>
          <cell r="S67">
            <v>0</v>
          </cell>
          <cell r="T67">
            <v>0</v>
          </cell>
        </row>
        <row r="68">
          <cell r="A68" t="str">
            <v>HospitalER_TRAUMA2_FLR_1</v>
          </cell>
          <cell r="B68" t="str">
            <v>STD2004</v>
          </cell>
          <cell r="C68" t="str">
            <v>Buffalo</v>
          </cell>
          <cell r="D68" t="str">
            <v>Hospital</v>
          </cell>
          <cell r="E68" t="str">
            <v>ER_TRAUMA2_FLR_1</v>
          </cell>
          <cell r="F68">
            <v>27.87</v>
          </cell>
          <cell r="G68">
            <v>1</v>
          </cell>
          <cell r="H68" t="str">
            <v>Yes</v>
          </cell>
          <cell r="I68" t="str">
            <v>VAV_ER</v>
          </cell>
          <cell r="J68">
            <v>45.53</v>
          </cell>
          <cell r="K68">
            <v>0</v>
          </cell>
          <cell r="L68">
            <v>16.145800000000001</v>
          </cell>
          <cell r="M68">
            <v>4.6500000000000004</v>
          </cell>
          <cell r="N68">
            <v>43.04</v>
          </cell>
          <cell r="O68">
            <v>0</v>
          </cell>
          <cell r="P68">
            <v>6.6100000000000006E-2</v>
          </cell>
          <cell r="R68">
            <v>1.0252300508275299E-3</v>
          </cell>
          <cell r="S68">
            <v>0</v>
          </cell>
          <cell r="T68">
            <v>0</v>
          </cell>
        </row>
        <row r="69">
          <cell r="A69" t="str">
            <v>HospitalER_TRIAGE_MULT4_FLR_1</v>
          </cell>
          <cell r="B69" t="str">
            <v>STD2004</v>
          </cell>
          <cell r="C69" t="str">
            <v>Buffalo</v>
          </cell>
          <cell r="D69" t="str">
            <v>Hospital</v>
          </cell>
          <cell r="E69" t="str">
            <v>ER_TRIAGE_MULT4_FLR_1</v>
          </cell>
          <cell r="F69">
            <v>27.87</v>
          </cell>
          <cell r="G69">
            <v>4</v>
          </cell>
          <cell r="H69" t="str">
            <v>Yes</v>
          </cell>
          <cell r="I69" t="str">
            <v>VAV_ER</v>
          </cell>
          <cell r="J69">
            <v>26.02</v>
          </cell>
          <cell r="K69">
            <v>0</v>
          </cell>
          <cell r="L69">
            <v>16.145800000000001</v>
          </cell>
          <cell r="M69">
            <v>4.6500000000000004</v>
          </cell>
          <cell r="N69">
            <v>21.527100000000001</v>
          </cell>
          <cell r="O69">
            <v>0</v>
          </cell>
          <cell r="P69">
            <v>0.26429999999999998</v>
          </cell>
          <cell r="R69">
            <v>1.0252300508275299E-3</v>
          </cell>
          <cell r="S69">
            <v>0</v>
          </cell>
          <cell r="T69">
            <v>0</v>
          </cell>
        </row>
        <row r="70">
          <cell r="A70" t="str">
            <v>HospitalOFFICE1_MULT4_FLR_1</v>
          </cell>
          <cell r="B70" t="str">
            <v>STD2004</v>
          </cell>
          <cell r="C70" t="str">
            <v>Buffalo</v>
          </cell>
          <cell r="D70" t="str">
            <v>Hospital</v>
          </cell>
          <cell r="E70" t="str">
            <v>OFFICE1_MULT4_FLR_1</v>
          </cell>
          <cell r="F70">
            <v>13.94</v>
          </cell>
          <cell r="G70">
            <v>5</v>
          </cell>
          <cell r="H70" t="str">
            <v>Yes</v>
          </cell>
          <cell r="I70" t="str">
            <v>VAV_1</v>
          </cell>
          <cell r="J70">
            <v>13.01</v>
          </cell>
          <cell r="K70">
            <v>2.96</v>
          </cell>
          <cell r="L70">
            <v>11.840299999999999</v>
          </cell>
          <cell r="M70">
            <v>13.27</v>
          </cell>
          <cell r="N70">
            <v>11.84</v>
          </cell>
          <cell r="O70">
            <v>0</v>
          </cell>
          <cell r="P70">
            <v>0</v>
          </cell>
          <cell r="R70">
            <v>1.0252300508275299E-3</v>
          </cell>
          <cell r="S70">
            <v>0</v>
          </cell>
          <cell r="T70">
            <v>0</v>
          </cell>
        </row>
        <row r="71">
          <cell r="A71" t="str">
            <v>HospitalLOBBY_RECORDS_FLR_1</v>
          </cell>
          <cell r="B71" t="str">
            <v>STD2004</v>
          </cell>
          <cell r="C71" t="str">
            <v>Buffalo</v>
          </cell>
          <cell r="D71" t="str">
            <v>Hospital</v>
          </cell>
          <cell r="E71" t="str">
            <v>LOBBY_RECORDS_FLR_1</v>
          </cell>
          <cell r="F71">
            <v>1474.81</v>
          </cell>
          <cell r="G71">
            <v>1</v>
          </cell>
          <cell r="H71" t="str">
            <v>Yes</v>
          </cell>
          <cell r="I71" t="str">
            <v>VAV_1</v>
          </cell>
          <cell r="J71">
            <v>409.78</v>
          </cell>
          <cell r="K71">
            <v>62.6</v>
          </cell>
          <cell r="L71">
            <v>13.777799999999999</v>
          </cell>
          <cell r="M71">
            <v>69.7</v>
          </cell>
          <cell r="N71">
            <v>1.08</v>
          </cell>
          <cell r="O71">
            <v>0</v>
          </cell>
          <cell r="P71">
            <v>0</v>
          </cell>
          <cell r="R71">
            <v>1.0252300508275299E-3</v>
          </cell>
          <cell r="S71">
            <v>0</v>
          </cell>
          <cell r="T71">
            <v>0</v>
          </cell>
        </row>
        <row r="72">
          <cell r="A72" t="str">
            <v>HospitalCORRIDOR_FLR_1</v>
          </cell>
          <cell r="B72" t="str">
            <v>STD2004</v>
          </cell>
          <cell r="C72" t="str">
            <v>Buffalo</v>
          </cell>
          <cell r="D72" t="str">
            <v>Hospital</v>
          </cell>
          <cell r="E72" t="str">
            <v>CORRIDOR_FLR_1</v>
          </cell>
          <cell r="F72">
            <v>569.03</v>
          </cell>
          <cell r="G72">
            <v>1</v>
          </cell>
          <cell r="H72" t="str">
            <v>Yes</v>
          </cell>
          <cell r="I72" t="str">
            <v>VAV_1</v>
          </cell>
          <cell r="J72">
            <v>91.07</v>
          </cell>
          <cell r="K72">
            <v>0</v>
          </cell>
          <cell r="L72">
            <v>10.3927</v>
          </cell>
          <cell r="M72">
            <v>18.579999999999998</v>
          </cell>
          <cell r="N72">
            <v>0</v>
          </cell>
          <cell r="O72">
            <v>0</v>
          </cell>
          <cell r="P72">
            <v>0</v>
          </cell>
          <cell r="R72">
            <v>1.0252300508275299E-3</v>
          </cell>
          <cell r="S72">
            <v>0</v>
          </cell>
          <cell r="T72">
            <v>0</v>
          </cell>
        </row>
        <row r="73">
          <cell r="A73" t="str">
            <v>HospitalER_NURSESTN_LOBBY_FLR_1</v>
          </cell>
          <cell r="B73" t="str">
            <v>STD2004</v>
          </cell>
          <cell r="C73" t="str">
            <v>Buffalo</v>
          </cell>
          <cell r="D73" t="str">
            <v>Hospital</v>
          </cell>
          <cell r="E73" t="str">
            <v>ER_NURSESTN_LOBBY_FLR_1</v>
          </cell>
          <cell r="F73">
            <v>1235.6099999999999</v>
          </cell>
          <cell r="G73">
            <v>1</v>
          </cell>
          <cell r="H73" t="str">
            <v>Yes</v>
          </cell>
          <cell r="I73" t="str">
            <v>VAV_1</v>
          </cell>
          <cell r="J73">
            <v>110.58</v>
          </cell>
          <cell r="K73">
            <v>30.4</v>
          </cell>
          <cell r="L73">
            <v>12.0556</v>
          </cell>
          <cell r="M73">
            <v>69.7</v>
          </cell>
          <cell r="N73">
            <v>14.63</v>
          </cell>
          <cell r="O73">
            <v>0</v>
          </cell>
          <cell r="P73">
            <v>0</v>
          </cell>
          <cell r="R73">
            <v>1.0252300508275299E-3</v>
          </cell>
          <cell r="S73">
            <v>0</v>
          </cell>
          <cell r="T73">
            <v>0</v>
          </cell>
        </row>
        <row r="74">
          <cell r="A74" t="str">
            <v>HospitalOR1_FLR_2</v>
          </cell>
          <cell r="B74" t="str">
            <v>STD2004</v>
          </cell>
          <cell r="C74" t="str">
            <v>Buffalo</v>
          </cell>
          <cell r="D74" t="str">
            <v>Hospital</v>
          </cell>
          <cell r="E74" t="str">
            <v>OR1_FLR_2</v>
          </cell>
          <cell r="F74">
            <v>55.74</v>
          </cell>
          <cell r="G74">
            <v>1</v>
          </cell>
          <cell r="H74" t="str">
            <v>Yes</v>
          </cell>
          <cell r="I74" t="str">
            <v>VAV_OR</v>
          </cell>
          <cell r="J74">
            <v>65.05</v>
          </cell>
          <cell r="K74">
            <v>0</v>
          </cell>
          <cell r="L74">
            <v>23.680599999999998</v>
          </cell>
          <cell r="M74">
            <v>18.59</v>
          </cell>
          <cell r="N74">
            <v>43.04</v>
          </cell>
          <cell r="O74">
            <v>0</v>
          </cell>
          <cell r="P74">
            <v>0.19819999999999999</v>
          </cell>
          <cell r="R74">
            <v>1.0252300508275299E-3</v>
          </cell>
          <cell r="S74">
            <v>0</v>
          </cell>
          <cell r="T74">
            <v>0</v>
          </cell>
        </row>
        <row r="75">
          <cell r="A75" t="str">
            <v>HospitalOR2_MULT5_FLR_2</v>
          </cell>
          <cell r="B75" t="str">
            <v>STD2004</v>
          </cell>
          <cell r="C75" t="str">
            <v>Buffalo</v>
          </cell>
          <cell r="D75" t="str">
            <v>Hospital</v>
          </cell>
          <cell r="E75" t="str">
            <v>OR2_MULT5_FLR_2</v>
          </cell>
          <cell r="F75">
            <v>55.74</v>
          </cell>
          <cell r="G75">
            <v>5</v>
          </cell>
          <cell r="H75" t="str">
            <v>Yes</v>
          </cell>
          <cell r="I75" t="str">
            <v>VAV_OR</v>
          </cell>
          <cell r="J75">
            <v>26.02</v>
          </cell>
          <cell r="K75">
            <v>0</v>
          </cell>
          <cell r="L75">
            <v>23.680599999999998</v>
          </cell>
          <cell r="M75">
            <v>18.59</v>
          </cell>
          <cell r="N75">
            <v>43.04</v>
          </cell>
          <cell r="O75">
            <v>0</v>
          </cell>
          <cell r="P75">
            <v>0.99109999999999998</v>
          </cell>
          <cell r="R75">
            <v>1.0252300508275299E-3</v>
          </cell>
          <cell r="S75">
            <v>0</v>
          </cell>
          <cell r="T75">
            <v>0</v>
          </cell>
        </row>
        <row r="76">
          <cell r="A76" t="str">
            <v>HospitalOR3_FLR_2</v>
          </cell>
          <cell r="B76" t="str">
            <v>STD2004</v>
          </cell>
          <cell r="C76" t="str">
            <v>Buffalo</v>
          </cell>
          <cell r="D76" t="str">
            <v>Hospital</v>
          </cell>
          <cell r="E76" t="str">
            <v>OR3_FLR_2</v>
          </cell>
          <cell r="F76">
            <v>55.74</v>
          </cell>
          <cell r="G76">
            <v>1</v>
          </cell>
          <cell r="H76" t="str">
            <v>Yes</v>
          </cell>
          <cell r="I76" t="str">
            <v>VAV_OR</v>
          </cell>
          <cell r="J76">
            <v>39.03</v>
          </cell>
          <cell r="K76">
            <v>0</v>
          </cell>
          <cell r="L76">
            <v>23.680599999999998</v>
          </cell>
          <cell r="M76">
            <v>18.59</v>
          </cell>
          <cell r="N76">
            <v>43.04</v>
          </cell>
          <cell r="O76">
            <v>0</v>
          </cell>
          <cell r="P76">
            <v>0.19819999999999999</v>
          </cell>
          <cell r="R76">
            <v>1.0252300508275299E-3</v>
          </cell>
          <cell r="S76">
            <v>0</v>
          </cell>
          <cell r="T76">
            <v>0</v>
          </cell>
        </row>
        <row r="77">
          <cell r="A77" t="str">
            <v>HospitalOR4_FLR_2</v>
          </cell>
          <cell r="B77" t="str">
            <v>STD2004</v>
          </cell>
          <cell r="C77" t="str">
            <v>Buffalo</v>
          </cell>
          <cell r="D77" t="str">
            <v>Hospital</v>
          </cell>
          <cell r="E77" t="str">
            <v>OR4_FLR_2</v>
          </cell>
          <cell r="F77">
            <v>222.97</v>
          </cell>
          <cell r="G77">
            <v>1</v>
          </cell>
          <cell r="H77" t="str">
            <v>Yes</v>
          </cell>
          <cell r="I77" t="str">
            <v>VAV_OR</v>
          </cell>
          <cell r="J77">
            <v>0</v>
          </cell>
          <cell r="K77">
            <v>0</v>
          </cell>
          <cell r="L77">
            <v>23.680599999999998</v>
          </cell>
          <cell r="M77">
            <v>18.59</v>
          </cell>
          <cell r="N77">
            <v>43.04</v>
          </cell>
          <cell r="O77">
            <v>0</v>
          </cell>
          <cell r="P77">
            <v>0.79290000000000005</v>
          </cell>
          <cell r="R77">
            <v>1.0252300508275299E-3</v>
          </cell>
          <cell r="S77">
            <v>0</v>
          </cell>
          <cell r="T77">
            <v>0</v>
          </cell>
        </row>
        <row r="78">
          <cell r="A78" t="str">
            <v>HospitalIC_PATROOM1_MULT5_FLR_2</v>
          </cell>
          <cell r="B78" t="str">
            <v>STD2004</v>
          </cell>
          <cell r="C78" t="str">
            <v>Buffalo</v>
          </cell>
          <cell r="D78" t="str">
            <v>Hospital</v>
          </cell>
          <cell r="E78" t="str">
            <v>IC_PATROOM1_MULT5_FLR_2</v>
          </cell>
          <cell r="F78">
            <v>20.9</v>
          </cell>
          <cell r="G78">
            <v>5</v>
          </cell>
          <cell r="H78" t="str">
            <v>Yes</v>
          </cell>
          <cell r="I78" t="str">
            <v>VAV_ICU</v>
          </cell>
          <cell r="J78">
            <v>19.510000000000002</v>
          </cell>
          <cell r="K78">
            <v>4.91</v>
          </cell>
          <cell r="L78">
            <v>8.6111000000000004</v>
          </cell>
          <cell r="M78">
            <v>18.59</v>
          </cell>
          <cell r="N78">
            <v>32.28</v>
          </cell>
          <cell r="O78">
            <v>0</v>
          </cell>
          <cell r="P78">
            <v>0.24779999999999999</v>
          </cell>
          <cell r="R78">
            <v>1.0252300508275299E-3</v>
          </cell>
          <cell r="S78">
            <v>0</v>
          </cell>
          <cell r="T78">
            <v>0</v>
          </cell>
        </row>
        <row r="79">
          <cell r="A79" t="str">
            <v>HospitalIC_PATROOM2_FLR_2</v>
          </cell>
          <cell r="B79" t="str">
            <v>STD2004</v>
          </cell>
          <cell r="C79" t="str">
            <v>Buffalo</v>
          </cell>
          <cell r="D79" t="str">
            <v>Hospital</v>
          </cell>
          <cell r="E79" t="str">
            <v>IC_PATROOM2_FLR_2</v>
          </cell>
          <cell r="F79">
            <v>27.87</v>
          </cell>
          <cell r="G79">
            <v>1</v>
          </cell>
          <cell r="H79" t="str">
            <v>Yes</v>
          </cell>
          <cell r="I79" t="str">
            <v>VAV_ICU</v>
          </cell>
          <cell r="J79">
            <v>45.53</v>
          </cell>
          <cell r="K79">
            <v>11.45</v>
          </cell>
          <cell r="L79">
            <v>8.6111000000000004</v>
          </cell>
          <cell r="M79">
            <v>18.59</v>
          </cell>
          <cell r="N79">
            <v>32.28</v>
          </cell>
          <cell r="O79">
            <v>0</v>
          </cell>
          <cell r="P79">
            <v>6.6100000000000006E-2</v>
          </cell>
          <cell r="R79">
            <v>1.0252300508275299E-3</v>
          </cell>
          <cell r="S79">
            <v>0</v>
          </cell>
          <cell r="T79">
            <v>0</v>
          </cell>
        </row>
        <row r="80">
          <cell r="A80" t="str">
            <v>HospitalIC_PATROOM3_MULT6_FLR_2</v>
          </cell>
          <cell r="B80" t="str">
            <v>STD2004</v>
          </cell>
          <cell r="C80" t="str">
            <v>Buffalo</v>
          </cell>
          <cell r="D80" t="str">
            <v>Hospital</v>
          </cell>
          <cell r="E80" t="str">
            <v>IC_PATROOM3_MULT6_FLR_2</v>
          </cell>
          <cell r="F80">
            <v>20.9</v>
          </cell>
          <cell r="G80">
            <v>6</v>
          </cell>
          <cell r="H80" t="str">
            <v>Yes</v>
          </cell>
          <cell r="I80" t="str">
            <v>VAV_ICU</v>
          </cell>
          <cell r="J80">
            <v>19.510000000000002</v>
          </cell>
          <cell r="K80">
            <v>4.91</v>
          </cell>
          <cell r="L80">
            <v>8.6111000000000004</v>
          </cell>
          <cell r="M80">
            <v>18.59</v>
          </cell>
          <cell r="N80">
            <v>32.28</v>
          </cell>
          <cell r="O80">
            <v>0</v>
          </cell>
          <cell r="P80">
            <v>0.29730000000000001</v>
          </cell>
          <cell r="R80">
            <v>1.0252300508275299E-3</v>
          </cell>
          <cell r="S80">
            <v>0</v>
          </cell>
          <cell r="T80">
            <v>0</v>
          </cell>
        </row>
        <row r="81">
          <cell r="A81" t="str">
            <v>HospitalICU_FLR_2</v>
          </cell>
          <cell r="B81" t="str">
            <v>STD2004</v>
          </cell>
          <cell r="C81" t="str">
            <v>Buffalo</v>
          </cell>
          <cell r="D81" t="str">
            <v>Hospital</v>
          </cell>
          <cell r="E81" t="str">
            <v>ICU_FLR_2</v>
          </cell>
          <cell r="F81">
            <v>617.96</v>
          </cell>
          <cell r="G81">
            <v>1</v>
          </cell>
          <cell r="H81" t="str">
            <v>Yes</v>
          </cell>
          <cell r="I81" t="str">
            <v>VAV_ICU</v>
          </cell>
          <cell r="J81">
            <v>214.68</v>
          </cell>
          <cell r="K81">
            <v>25.04</v>
          </cell>
          <cell r="L81">
            <v>8.6111000000000004</v>
          </cell>
          <cell r="M81">
            <v>18.59</v>
          </cell>
          <cell r="N81">
            <v>32.28</v>
          </cell>
          <cell r="O81">
            <v>0</v>
          </cell>
          <cell r="P81">
            <v>1.4650000000000001</v>
          </cell>
          <cell r="R81">
            <v>1.0252300508275299E-3</v>
          </cell>
          <cell r="S81">
            <v>0</v>
          </cell>
          <cell r="T81">
            <v>0</v>
          </cell>
        </row>
        <row r="82">
          <cell r="A82" t="str">
            <v>HospitalICU_NURSESTN_LOBBY_FLR_2</v>
          </cell>
          <cell r="B82" t="str">
            <v>STD2004</v>
          </cell>
          <cell r="C82" t="str">
            <v>Buffalo</v>
          </cell>
          <cell r="D82" t="str">
            <v>Hospital</v>
          </cell>
          <cell r="E82" t="str">
            <v>ICU_NURSESTN_LOBBY_FLR_2</v>
          </cell>
          <cell r="F82">
            <v>668.77</v>
          </cell>
          <cell r="G82">
            <v>1</v>
          </cell>
          <cell r="H82" t="str">
            <v>Yes</v>
          </cell>
          <cell r="I82" t="str">
            <v>VAV_1</v>
          </cell>
          <cell r="J82">
            <v>0</v>
          </cell>
          <cell r="K82">
            <v>0</v>
          </cell>
          <cell r="L82">
            <v>10.7639</v>
          </cell>
          <cell r="M82">
            <v>69.7</v>
          </cell>
          <cell r="N82">
            <v>21.52</v>
          </cell>
          <cell r="O82">
            <v>0</v>
          </cell>
          <cell r="P82">
            <v>0</v>
          </cell>
          <cell r="R82">
            <v>1.0252300508275299E-3</v>
          </cell>
          <cell r="S82">
            <v>0</v>
          </cell>
          <cell r="T82">
            <v>0</v>
          </cell>
        </row>
        <row r="83">
          <cell r="A83" t="str">
            <v>HospitalCORRIDOR_FLR_2</v>
          </cell>
          <cell r="B83" t="str">
            <v>STD2004</v>
          </cell>
          <cell r="C83" t="str">
            <v>Buffalo</v>
          </cell>
          <cell r="D83" t="str">
            <v>Hospital</v>
          </cell>
          <cell r="E83" t="str">
            <v>CORRIDOR_FLR_2</v>
          </cell>
          <cell r="F83">
            <v>569.03</v>
          </cell>
          <cell r="G83">
            <v>1</v>
          </cell>
          <cell r="H83" t="str">
            <v>Yes</v>
          </cell>
          <cell r="I83" t="str">
            <v>VAV_1</v>
          </cell>
          <cell r="J83">
            <v>91.07</v>
          </cell>
          <cell r="K83">
            <v>0</v>
          </cell>
          <cell r="L83">
            <v>10.3927</v>
          </cell>
          <cell r="M83">
            <v>92.94</v>
          </cell>
          <cell r="N83">
            <v>0</v>
          </cell>
          <cell r="O83">
            <v>0</v>
          </cell>
          <cell r="P83">
            <v>0</v>
          </cell>
          <cell r="R83">
            <v>1.0252300508275299E-3</v>
          </cell>
          <cell r="S83">
            <v>0</v>
          </cell>
          <cell r="T83">
            <v>0</v>
          </cell>
        </row>
        <row r="84">
          <cell r="A84" t="str">
            <v>HospitalOR_NURSESTN_LOBBY_FLR_2</v>
          </cell>
          <cell r="B84" t="str">
            <v>STD2004</v>
          </cell>
          <cell r="C84" t="str">
            <v>Buffalo</v>
          </cell>
          <cell r="D84" t="str">
            <v>Hospital</v>
          </cell>
          <cell r="E84" t="str">
            <v>OR_NURSESTN_LOBBY_FLR_2</v>
          </cell>
          <cell r="F84">
            <v>1012.64</v>
          </cell>
          <cell r="G84">
            <v>1</v>
          </cell>
          <cell r="H84" t="str">
            <v>Yes</v>
          </cell>
          <cell r="I84" t="str">
            <v>VAV_1</v>
          </cell>
          <cell r="J84">
            <v>182.14</v>
          </cell>
          <cell r="K84">
            <v>35.770000000000003</v>
          </cell>
          <cell r="L84">
            <v>12.7014</v>
          </cell>
          <cell r="M84">
            <v>69.7</v>
          </cell>
          <cell r="N84">
            <v>11.19</v>
          </cell>
          <cell r="O84">
            <v>0</v>
          </cell>
          <cell r="P84">
            <v>0</v>
          </cell>
          <cell r="R84">
            <v>1.0252300508275299E-3</v>
          </cell>
          <cell r="S84">
            <v>0</v>
          </cell>
          <cell r="T84">
            <v>0</v>
          </cell>
        </row>
        <row r="85">
          <cell r="A85" t="str">
            <v>HospitalPATROOM1_MULT10_FLR_3</v>
          </cell>
          <cell r="B85" t="str">
            <v>STD2004</v>
          </cell>
          <cell r="C85" t="str">
            <v>Buffalo</v>
          </cell>
          <cell r="D85" t="str">
            <v>Hospital</v>
          </cell>
          <cell r="E85" t="str">
            <v>PATROOM1_MULT10_FLR_3</v>
          </cell>
          <cell r="F85">
            <v>20.9</v>
          </cell>
          <cell r="G85">
            <v>10</v>
          </cell>
          <cell r="H85" t="str">
            <v>Yes</v>
          </cell>
          <cell r="I85" t="str">
            <v>VAV_PATRMS</v>
          </cell>
          <cell r="J85">
            <v>19.510000000000002</v>
          </cell>
          <cell r="K85">
            <v>4.91</v>
          </cell>
          <cell r="L85">
            <v>7.5347</v>
          </cell>
          <cell r="M85">
            <v>18.59</v>
          </cell>
          <cell r="N85">
            <v>21.52</v>
          </cell>
          <cell r="O85">
            <v>0</v>
          </cell>
          <cell r="P85">
            <v>0.4955</v>
          </cell>
          <cell r="R85">
            <v>1.0252300508275299E-3</v>
          </cell>
          <cell r="S85">
            <v>0</v>
          </cell>
          <cell r="T85">
            <v>0</v>
          </cell>
        </row>
        <row r="86">
          <cell r="A86" t="str">
            <v>HospitalPATROOM2_FLR_3</v>
          </cell>
          <cell r="B86" t="str">
            <v>STD2004</v>
          </cell>
          <cell r="C86" t="str">
            <v>Buffalo</v>
          </cell>
          <cell r="D86" t="str">
            <v>Hospital</v>
          </cell>
          <cell r="E86" t="str">
            <v>PATROOM2_FLR_3</v>
          </cell>
          <cell r="F86">
            <v>34.840000000000003</v>
          </cell>
          <cell r="G86">
            <v>1</v>
          </cell>
          <cell r="H86" t="str">
            <v>Yes</v>
          </cell>
          <cell r="I86" t="str">
            <v>VAV_PATRMS</v>
          </cell>
          <cell r="J86">
            <v>52.04</v>
          </cell>
          <cell r="K86">
            <v>13.08</v>
          </cell>
          <cell r="L86">
            <v>7.5347</v>
          </cell>
          <cell r="M86">
            <v>18.59</v>
          </cell>
          <cell r="N86">
            <v>21.52</v>
          </cell>
          <cell r="O86">
            <v>0</v>
          </cell>
          <cell r="P86">
            <v>8.2600000000000007E-2</v>
          </cell>
          <cell r="R86">
            <v>1.0252300508275299E-3</v>
          </cell>
          <cell r="S86">
            <v>0</v>
          </cell>
          <cell r="T86">
            <v>0</v>
          </cell>
        </row>
        <row r="87">
          <cell r="A87" t="str">
            <v>HospitalPATROOM3_MULT10_FLR_3</v>
          </cell>
          <cell r="B87" t="str">
            <v>STD2004</v>
          </cell>
          <cell r="C87" t="str">
            <v>Buffalo</v>
          </cell>
          <cell r="D87" t="str">
            <v>Hospital</v>
          </cell>
          <cell r="E87" t="str">
            <v>PATROOM3_MULT10_FLR_3</v>
          </cell>
          <cell r="F87">
            <v>20.21</v>
          </cell>
          <cell r="G87">
            <v>10</v>
          </cell>
          <cell r="H87" t="str">
            <v>Yes</v>
          </cell>
          <cell r="I87" t="str">
            <v>VAV_PATRMS</v>
          </cell>
          <cell r="J87">
            <v>18.87</v>
          </cell>
          <cell r="K87">
            <v>4.74</v>
          </cell>
          <cell r="L87">
            <v>7.5347</v>
          </cell>
          <cell r="M87">
            <v>18.59</v>
          </cell>
          <cell r="N87">
            <v>21.52</v>
          </cell>
          <cell r="O87">
            <v>0</v>
          </cell>
          <cell r="P87">
            <v>0.47910000000000003</v>
          </cell>
          <cell r="R87">
            <v>1.0252300508275299E-3</v>
          </cell>
          <cell r="S87">
            <v>0</v>
          </cell>
          <cell r="T87">
            <v>0</v>
          </cell>
        </row>
        <row r="88">
          <cell r="A88" t="str">
            <v>HospitalPATROOM4_FLR_3</v>
          </cell>
          <cell r="B88" t="str">
            <v>STD2004</v>
          </cell>
          <cell r="C88" t="str">
            <v>Buffalo</v>
          </cell>
          <cell r="D88" t="str">
            <v>Hospital</v>
          </cell>
          <cell r="E88" t="str">
            <v>PATROOM4_FLR_3</v>
          </cell>
          <cell r="F88">
            <v>34.840000000000003</v>
          </cell>
          <cell r="G88">
            <v>1</v>
          </cell>
          <cell r="H88" t="str">
            <v>Yes</v>
          </cell>
          <cell r="I88" t="str">
            <v>VAV_PATRMS</v>
          </cell>
          <cell r="J88">
            <v>52.04</v>
          </cell>
          <cell r="K88">
            <v>13.08</v>
          </cell>
          <cell r="L88">
            <v>7.5347</v>
          </cell>
          <cell r="M88">
            <v>18.59</v>
          </cell>
          <cell r="N88">
            <v>21.52</v>
          </cell>
          <cell r="O88">
            <v>0</v>
          </cell>
          <cell r="P88">
            <v>8.2600000000000007E-2</v>
          </cell>
          <cell r="R88">
            <v>1.0252300508275299E-3</v>
          </cell>
          <cell r="S88">
            <v>0</v>
          </cell>
          <cell r="T88">
            <v>0</v>
          </cell>
        </row>
        <row r="89">
          <cell r="A89" t="str">
            <v>HospitalPATROOM5_MULT10_FLR_3</v>
          </cell>
          <cell r="B89" t="str">
            <v>STD2004</v>
          </cell>
          <cell r="C89" t="str">
            <v>Buffalo</v>
          </cell>
          <cell r="D89" t="str">
            <v>Hospital</v>
          </cell>
          <cell r="E89" t="str">
            <v>PATROOM5_MULT10_FLR_3</v>
          </cell>
          <cell r="F89">
            <v>20.9</v>
          </cell>
          <cell r="G89">
            <v>10</v>
          </cell>
          <cell r="H89" t="str">
            <v>Yes</v>
          </cell>
          <cell r="I89" t="str">
            <v>VAV_PATRMS</v>
          </cell>
          <cell r="J89">
            <v>19.510000000000002</v>
          </cell>
          <cell r="K89">
            <v>4.91</v>
          </cell>
          <cell r="L89">
            <v>7.5347</v>
          </cell>
          <cell r="M89">
            <v>18.59</v>
          </cell>
          <cell r="N89">
            <v>21.52</v>
          </cell>
          <cell r="O89">
            <v>0</v>
          </cell>
          <cell r="P89">
            <v>0.4955</v>
          </cell>
          <cell r="R89">
            <v>1.0252300508275299E-3</v>
          </cell>
          <cell r="S89">
            <v>0</v>
          </cell>
          <cell r="T89">
            <v>0</v>
          </cell>
        </row>
        <row r="90">
          <cell r="A90" t="str">
            <v>HospitalPHYSTHERAPY_FLR_3</v>
          </cell>
          <cell r="B90" t="str">
            <v>STD2004</v>
          </cell>
          <cell r="C90" t="str">
            <v>Buffalo</v>
          </cell>
          <cell r="D90" t="str">
            <v>Hospital</v>
          </cell>
          <cell r="E90" t="str">
            <v>PHYSTHERAPY_FLR_3</v>
          </cell>
          <cell r="F90">
            <v>487.74</v>
          </cell>
          <cell r="G90">
            <v>1</v>
          </cell>
          <cell r="H90" t="str">
            <v>Yes</v>
          </cell>
          <cell r="I90" t="str">
            <v>VAV_2</v>
          </cell>
          <cell r="J90">
            <v>0</v>
          </cell>
          <cell r="K90">
            <v>0</v>
          </cell>
          <cell r="L90">
            <v>9.6875</v>
          </cell>
          <cell r="M90">
            <v>18.59</v>
          </cell>
          <cell r="N90">
            <v>16.14</v>
          </cell>
          <cell r="O90">
            <v>0</v>
          </cell>
          <cell r="P90">
            <v>0</v>
          </cell>
          <cell r="R90">
            <v>1.0252300508275299E-3</v>
          </cell>
          <cell r="S90">
            <v>0</v>
          </cell>
          <cell r="T90">
            <v>0</v>
          </cell>
        </row>
        <row r="91">
          <cell r="A91" t="str">
            <v>HospitalPATROOM6_FLR_3</v>
          </cell>
          <cell r="B91" t="str">
            <v>STD2004</v>
          </cell>
          <cell r="C91" t="str">
            <v>Buffalo</v>
          </cell>
          <cell r="D91" t="str">
            <v>Hospital</v>
          </cell>
          <cell r="E91" t="str">
            <v>PATROOM6_FLR_3</v>
          </cell>
          <cell r="F91">
            <v>27.87</v>
          </cell>
          <cell r="G91">
            <v>1</v>
          </cell>
          <cell r="H91" t="str">
            <v>Yes</v>
          </cell>
          <cell r="I91" t="str">
            <v>VAV_PATRMS</v>
          </cell>
          <cell r="J91">
            <v>45.53</v>
          </cell>
          <cell r="K91">
            <v>11.45</v>
          </cell>
          <cell r="L91">
            <v>7.5347</v>
          </cell>
          <cell r="M91">
            <v>18.59</v>
          </cell>
          <cell r="N91">
            <v>21.52</v>
          </cell>
          <cell r="O91">
            <v>0</v>
          </cell>
          <cell r="P91">
            <v>6.6100000000000006E-2</v>
          </cell>
          <cell r="R91">
            <v>1.0252300508275299E-3</v>
          </cell>
          <cell r="S91">
            <v>0</v>
          </cell>
          <cell r="T91">
            <v>0</v>
          </cell>
        </row>
        <row r="92">
          <cell r="A92" t="str">
            <v>HospitalPATROOM7_MULT10_FLR_3</v>
          </cell>
          <cell r="B92" t="str">
            <v>STD2004</v>
          </cell>
          <cell r="C92" t="str">
            <v>Buffalo</v>
          </cell>
          <cell r="D92" t="str">
            <v>Hospital</v>
          </cell>
          <cell r="E92" t="str">
            <v>PATROOM7_MULT10_FLR_3</v>
          </cell>
          <cell r="F92">
            <v>20.21</v>
          </cell>
          <cell r="G92">
            <v>10</v>
          </cell>
          <cell r="H92" t="str">
            <v>Yes</v>
          </cell>
          <cell r="I92" t="str">
            <v>VAV_PATRMS</v>
          </cell>
          <cell r="J92">
            <v>18.87</v>
          </cell>
          <cell r="K92">
            <v>4.74</v>
          </cell>
          <cell r="L92">
            <v>7.5347</v>
          </cell>
          <cell r="M92">
            <v>18.59</v>
          </cell>
          <cell r="N92">
            <v>21.52</v>
          </cell>
          <cell r="O92">
            <v>0</v>
          </cell>
          <cell r="P92">
            <v>0.47910000000000003</v>
          </cell>
          <cell r="R92">
            <v>1.0252300508275299E-3</v>
          </cell>
          <cell r="S92">
            <v>0</v>
          </cell>
          <cell r="T92">
            <v>0</v>
          </cell>
        </row>
        <row r="93">
          <cell r="A93" t="str">
            <v>HospitalPATROOM8_FLR_3</v>
          </cell>
          <cell r="B93" t="str">
            <v>STD2004</v>
          </cell>
          <cell r="C93" t="str">
            <v>Buffalo</v>
          </cell>
          <cell r="D93" t="str">
            <v>Hospital</v>
          </cell>
          <cell r="E93" t="str">
            <v>PATROOM8_FLR_3</v>
          </cell>
          <cell r="F93">
            <v>27.87</v>
          </cell>
          <cell r="G93">
            <v>1</v>
          </cell>
          <cell r="H93" t="str">
            <v>Yes</v>
          </cell>
          <cell r="I93" t="str">
            <v>VAV_PATRMS</v>
          </cell>
          <cell r="J93">
            <v>45.53</v>
          </cell>
          <cell r="K93">
            <v>11.45</v>
          </cell>
          <cell r="L93">
            <v>7.5347</v>
          </cell>
          <cell r="M93">
            <v>18.59</v>
          </cell>
          <cell r="N93">
            <v>21.52</v>
          </cell>
          <cell r="O93">
            <v>0</v>
          </cell>
          <cell r="P93">
            <v>6.6100000000000006E-2</v>
          </cell>
          <cell r="R93">
            <v>1.0252300508275299E-3</v>
          </cell>
          <cell r="S93">
            <v>0</v>
          </cell>
          <cell r="T93">
            <v>0</v>
          </cell>
        </row>
        <row r="94">
          <cell r="A94" t="str">
            <v>HospitalNURSESTN_LOBBY_FLR_3</v>
          </cell>
          <cell r="B94" t="str">
            <v>STD2004</v>
          </cell>
          <cell r="C94" t="str">
            <v>Buffalo</v>
          </cell>
          <cell r="D94" t="str">
            <v>Hospital</v>
          </cell>
          <cell r="E94" t="str">
            <v>NURSESTN_LOBBY_FLR_3</v>
          </cell>
          <cell r="F94">
            <v>905.8</v>
          </cell>
          <cell r="G94">
            <v>1</v>
          </cell>
          <cell r="H94" t="str">
            <v>Yes</v>
          </cell>
          <cell r="I94" t="str">
            <v>VAV_2</v>
          </cell>
          <cell r="J94">
            <v>0</v>
          </cell>
          <cell r="K94">
            <v>0</v>
          </cell>
          <cell r="L94">
            <v>12.7014</v>
          </cell>
          <cell r="M94">
            <v>69.7</v>
          </cell>
          <cell r="N94">
            <v>11.19</v>
          </cell>
          <cell r="O94">
            <v>0</v>
          </cell>
          <cell r="P94">
            <v>0</v>
          </cell>
          <cell r="R94">
            <v>1.0252300508275299E-3</v>
          </cell>
          <cell r="S94">
            <v>0</v>
          </cell>
          <cell r="T94">
            <v>0</v>
          </cell>
        </row>
        <row r="95">
          <cell r="A95" t="str">
            <v>HospitalLAB_FLR_3</v>
          </cell>
          <cell r="B95" t="str">
            <v>STD2004</v>
          </cell>
          <cell r="C95" t="str">
            <v>Buffalo</v>
          </cell>
          <cell r="D95" t="str">
            <v>Hospital</v>
          </cell>
          <cell r="E95" t="str">
            <v>LAB_FLR_3</v>
          </cell>
          <cell r="F95">
            <v>264.77</v>
          </cell>
          <cell r="G95">
            <v>1</v>
          </cell>
          <cell r="H95" t="str">
            <v>Yes</v>
          </cell>
          <cell r="I95" t="str">
            <v>VAV_LABS</v>
          </cell>
          <cell r="J95">
            <v>0</v>
          </cell>
          <cell r="K95">
            <v>0</v>
          </cell>
          <cell r="L95">
            <v>15.0695</v>
          </cell>
          <cell r="M95">
            <v>18.59</v>
          </cell>
          <cell r="N95">
            <v>43.04</v>
          </cell>
          <cell r="O95">
            <v>0</v>
          </cell>
          <cell r="P95">
            <v>0.13450000000000001</v>
          </cell>
          <cell r="R95">
            <v>1.0252300508275299E-3</v>
          </cell>
          <cell r="S95">
            <v>0</v>
          </cell>
          <cell r="T95">
            <v>0</v>
          </cell>
        </row>
        <row r="96">
          <cell r="A96" t="str">
            <v>HospitalCORRIDOR_SE_FLR_3</v>
          </cell>
          <cell r="B96" t="str">
            <v>STD2004</v>
          </cell>
          <cell r="C96" t="str">
            <v>Buffalo</v>
          </cell>
          <cell r="D96" t="str">
            <v>Hospital</v>
          </cell>
          <cell r="E96" t="str">
            <v>CORRIDOR_SE_FLR_3</v>
          </cell>
          <cell r="F96">
            <v>566.71</v>
          </cell>
          <cell r="G96">
            <v>1</v>
          </cell>
          <cell r="H96" t="str">
            <v>Yes</v>
          </cell>
          <cell r="I96" t="str">
            <v>VAV_2</v>
          </cell>
          <cell r="J96">
            <v>45.53</v>
          </cell>
          <cell r="K96">
            <v>0</v>
          </cell>
          <cell r="L96">
            <v>10.3927</v>
          </cell>
          <cell r="M96">
            <v>92.94</v>
          </cell>
          <cell r="N96">
            <v>0</v>
          </cell>
          <cell r="O96">
            <v>0</v>
          </cell>
          <cell r="P96">
            <v>0</v>
          </cell>
          <cell r="R96">
            <v>1.0252300508275299E-3</v>
          </cell>
          <cell r="S96">
            <v>0</v>
          </cell>
          <cell r="T96">
            <v>0</v>
          </cell>
        </row>
        <row r="97">
          <cell r="A97" t="str">
            <v>HospitalCORRIDOR_NW_FLR_3</v>
          </cell>
          <cell r="B97" t="str">
            <v>STD2004</v>
          </cell>
          <cell r="C97" t="str">
            <v>Buffalo</v>
          </cell>
          <cell r="D97" t="str">
            <v>Hospital</v>
          </cell>
          <cell r="E97" t="str">
            <v>CORRIDOR_NW_FLR_3</v>
          </cell>
          <cell r="F97">
            <v>566.71</v>
          </cell>
          <cell r="G97">
            <v>1</v>
          </cell>
          <cell r="H97" t="str">
            <v>Yes</v>
          </cell>
          <cell r="I97" t="str">
            <v>VAV_2</v>
          </cell>
          <cell r="J97">
            <v>45.53</v>
          </cell>
          <cell r="K97">
            <v>0</v>
          </cell>
          <cell r="L97">
            <v>10.3927</v>
          </cell>
          <cell r="M97">
            <v>92.94</v>
          </cell>
          <cell r="N97">
            <v>0</v>
          </cell>
          <cell r="O97">
            <v>0</v>
          </cell>
          <cell r="P97">
            <v>0</v>
          </cell>
          <cell r="R97">
            <v>1.0252300508275299E-3</v>
          </cell>
          <cell r="S97">
            <v>0</v>
          </cell>
          <cell r="T97">
            <v>0</v>
          </cell>
        </row>
        <row r="98">
          <cell r="A98" t="str">
            <v>HospitalPATROOM1_MULT10_FLR_4</v>
          </cell>
          <cell r="B98" t="str">
            <v>STD2004</v>
          </cell>
          <cell r="C98" t="str">
            <v>Buffalo</v>
          </cell>
          <cell r="D98" t="str">
            <v>Hospital</v>
          </cell>
          <cell r="E98" t="str">
            <v>PATROOM1_MULT10_FLR_4</v>
          </cell>
          <cell r="F98">
            <v>20.9</v>
          </cell>
          <cell r="G98">
            <v>10</v>
          </cell>
          <cell r="H98" t="str">
            <v>Yes</v>
          </cell>
          <cell r="I98" t="str">
            <v>VAV_PATRMS</v>
          </cell>
          <cell r="J98">
            <v>19.510000000000002</v>
          </cell>
          <cell r="K98">
            <v>4.91</v>
          </cell>
          <cell r="L98">
            <v>7.5347</v>
          </cell>
          <cell r="M98">
            <v>18.59</v>
          </cell>
          <cell r="N98">
            <v>21.52</v>
          </cell>
          <cell r="O98">
            <v>0</v>
          </cell>
          <cell r="P98">
            <v>0.4955</v>
          </cell>
          <cell r="R98">
            <v>1.0252300508275299E-3</v>
          </cell>
          <cell r="S98">
            <v>0</v>
          </cell>
          <cell r="T98">
            <v>0</v>
          </cell>
        </row>
        <row r="99">
          <cell r="A99" t="str">
            <v>HospitalPATROOM2_FLR_4</v>
          </cell>
          <cell r="B99" t="str">
            <v>STD2004</v>
          </cell>
          <cell r="C99" t="str">
            <v>Buffalo</v>
          </cell>
          <cell r="D99" t="str">
            <v>Hospital</v>
          </cell>
          <cell r="E99" t="str">
            <v>PATROOM2_FLR_4</v>
          </cell>
          <cell r="F99">
            <v>34.840000000000003</v>
          </cell>
          <cell r="G99">
            <v>1</v>
          </cell>
          <cell r="H99" t="str">
            <v>Yes</v>
          </cell>
          <cell r="I99" t="str">
            <v>VAV_PATRMS</v>
          </cell>
          <cell r="J99">
            <v>52.04</v>
          </cell>
          <cell r="K99">
            <v>13.08</v>
          </cell>
          <cell r="L99">
            <v>7.5347</v>
          </cell>
          <cell r="M99">
            <v>18.59</v>
          </cell>
          <cell r="N99">
            <v>21.52</v>
          </cell>
          <cell r="O99">
            <v>0</v>
          </cell>
          <cell r="P99">
            <v>8.2600000000000007E-2</v>
          </cell>
          <cell r="R99">
            <v>1.0252300508275299E-3</v>
          </cell>
          <cell r="S99">
            <v>0</v>
          </cell>
          <cell r="T99">
            <v>0</v>
          </cell>
        </row>
        <row r="100">
          <cell r="A100" t="str">
            <v>HospitalPATROOM3_MULT10_FLR_4</v>
          </cell>
          <cell r="B100" t="str">
            <v>STD2004</v>
          </cell>
          <cell r="C100" t="str">
            <v>Buffalo</v>
          </cell>
          <cell r="D100" t="str">
            <v>Hospital</v>
          </cell>
          <cell r="E100" t="str">
            <v>PATROOM3_MULT10_FLR_4</v>
          </cell>
          <cell r="F100">
            <v>20.21</v>
          </cell>
          <cell r="G100">
            <v>10</v>
          </cell>
          <cell r="H100" t="str">
            <v>Yes</v>
          </cell>
          <cell r="I100" t="str">
            <v>VAV_PATRMS</v>
          </cell>
          <cell r="J100">
            <v>18.87</v>
          </cell>
          <cell r="K100">
            <v>4.74</v>
          </cell>
          <cell r="L100">
            <v>7.5347</v>
          </cell>
          <cell r="M100">
            <v>18.59</v>
          </cell>
          <cell r="N100">
            <v>21.52</v>
          </cell>
          <cell r="O100">
            <v>0</v>
          </cell>
          <cell r="P100">
            <v>0.47910000000000003</v>
          </cell>
          <cell r="R100">
            <v>1.0252300508275299E-3</v>
          </cell>
          <cell r="S100">
            <v>0</v>
          </cell>
          <cell r="T100">
            <v>0</v>
          </cell>
        </row>
        <row r="101">
          <cell r="A101" t="str">
            <v>HospitalPATROOM4_FLR_4</v>
          </cell>
          <cell r="B101" t="str">
            <v>STD2004</v>
          </cell>
          <cell r="C101" t="str">
            <v>Buffalo</v>
          </cell>
          <cell r="D101" t="str">
            <v>Hospital</v>
          </cell>
          <cell r="E101" t="str">
            <v>PATROOM4_FLR_4</v>
          </cell>
          <cell r="F101">
            <v>34.840000000000003</v>
          </cell>
          <cell r="G101">
            <v>1</v>
          </cell>
          <cell r="H101" t="str">
            <v>Yes</v>
          </cell>
          <cell r="I101" t="str">
            <v>VAV_PATRMS</v>
          </cell>
          <cell r="J101">
            <v>52.04</v>
          </cell>
          <cell r="K101">
            <v>13.08</v>
          </cell>
          <cell r="L101">
            <v>7.5347</v>
          </cell>
          <cell r="M101">
            <v>18.59</v>
          </cell>
          <cell r="N101">
            <v>21.52</v>
          </cell>
          <cell r="O101">
            <v>0</v>
          </cell>
          <cell r="P101">
            <v>8.2600000000000007E-2</v>
          </cell>
          <cell r="R101">
            <v>1.0252300508275299E-3</v>
          </cell>
          <cell r="S101">
            <v>0</v>
          </cell>
          <cell r="T101">
            <v>0</v>
          </cell>
        </row>
        <row r="102">
          <cell r="A102" t="str">
            <v>HospitalPATROOM5_MULT10_FLR_4</v>
          </cell>
          <cell r="B102" t="str">
            <v>STD2004</v>
          </cell>
          <cell r="C102" t="str">
            <v>Buffalo</v>
          </cell>
          <cell r="D102" t="str">
            <v>Hospital</v>
          </cell>
          <cell r="E102" t="str">
            <v>PATROOM5_MULT10_FLR_4</v>
          </cell>
          <cell r="F102">
            <v>20.9</v>
          </cell>
          <cell r="G102">
            <v>10</v>
          </cell>
          <cell r="H102" t="str">
            <v>Yes</v>
          </cell>
          <cell r="I102" t="str">
            <v>VAV_PATRMS</v>
          </cell>
          <cell r="J102">
            <v>19.510000000000002</v>
          </cell>
          <cell r="K102">
            <v>4.91</v>
          </cell>
          <cell r="L102">
            <v>7.5347</v>
          </cell>
          <cell r="M102">
            <v>18.59</v>
          </cell>
          <cell r="N102">
            <v>21.52</v>
          </cell>
          <cell r="O102">
            <v>0</v>
          </cell>
          <cell r="P102">
            <v>0.4955</v>
          </cell>
          <cell r="R102">
            <v>1.0252300508275299E-3</v>
          </cell>
          <cell r="S102">
            <v>0</v>
          </cell>
          <cell r="T102">
            <v>0</v>
          </cell>
        </row>
        <row r="103">
          <cell r="A103" t="str">
            <v>HospitalRADIOLOGY_FLR_4</v>
          </cell>
          <cell r="B103" t="str">
            <v>STD2004</v>
          </cell>
          <cell r="C103" t="str">
            <v>Buffalo</v>
          </cell>
          <cell r="D103" t="str">
            <v>Hospital</v>
          </cell>
          <cell r="E103" t="str">
            <v>RADIOLOGY_FLR_4</v>
          </cell>
          <cell r="F103">
            <v>487.74</v>
          </cell>
          <cell r="G103">
            <v>1</v>
          </cell>
          <cell r="H103" t="str">
            <v>Yes</v>
          </cell>
          <cell r="I103" t="str">
            <v>VAV_2</v>
          </cell>
          <cell r="J103">
            <v>0</v>
          </cell>
          <cell r="K103">
            <v>0</v>
          </cell>
          <cell r="L103">
            <v>4.3056000000000001</v>
          </cell>
          <cell r="M103">
            <v>18.59</v>
          </cell>
          <cell r="N103">
            <v>107.63890000000001</v>
          </cell>
          <cell r="O103">
            <v>0</v>
          </cell>
          <cell r="P103">
            <v>0</v>
          </cell>
          <cell r="R103">
            <v>1.0252300508275299E-3</v>
          </cell>
          <cell r="S103">
            <v>0</v>
          </cell>
          <cell r="T103">
            <v>0</v>
          </cell>
        </row>
        <row r="104">
          <cell r="A104" t="str">
            <v>HospitalPATROOM6_FLR_4</v>
          </cell>
          <cell r="B104" t="str">
            <v>STD2004</v>
          </cell>
          <cell r="C104" t="str">
            <v>Buffalo</v>
          </cell>
          <cell r="D104" t="str">
            <v>Hospital</v>
          </cell>
          <cell r="E104" t="str">
            <v>PATROOM6_FLR_4</v>
          </cell>
          <cell r="F104">
            <v>27.87</v>
          </cell>
          <cell r="G104">
            <v>1</v>
          </cell>
          <cell r="H104" t="str">
            <v>Yes</v>
          </cell>
          <cell r="I104" t="str">
            <v>VAV_PATRMS</v>
          </cell>
          <cell r="J104">
            <v>45.53</v>
          </cell>
          <cell r="K104">
            <v>11.45</v>
          </cell>
          <cell r="L104">
            <v>7.5347</v>
          </cell>
          <cell r="M104">
            <v>18.59</v>
          </cell>
          <cell r="N104">
            <v>21.52</v>
          </cell>
          <cell r="O104">
            <v>0</v>
          </cell>
          <cell r="P104">
            <v>6.6100000000000006E-2</v>
          </cell>
          <cell r="R104">
            <v>1.0252300508275299E-3</v>
          </cell>
          <cell r="S104">
            <v>0</v>
          </cell>
          <cell r="T104">
            <v>0</v>
          </cell>
        </row>
        <row r="105">
          <cell r="A105" t="str">
            <v>HospitalPATROOM7_MULT10_FLR_4</v>
          </cell>
          <cell r="B105" t="str">
            <v>STD2004</v>
          </cell>
          <cell r="C105" t="str">
            <v>Buffalo</v>
          </cell>
          <cell r="D105" t="str">
            <v>Hospital</v>
          </cell>
          <cell r="E105" t="str">
            <v>PATROOM7_MULT10_FLR_4</v>
          </cell>
          <cell r="F105">
            <v>20.21</v>
          </cell>
          <cell r="G105">
            <v>10</v>
          </cell>
          <cell r="H105" t="str">
            <v>Yes</v>
          </cell>
          <cell r="I105" t="str">
            <v>VAV_PATRMS</v>
          </cell>
          <cell r="J105">
            <v>18.87</v>
          </cell>
          <cell r="K105">
            <v>4.74</v>
          </cell>
          <cell r="L105">
            <v>7.5347</v>
          </cell>
          <cell r="M105">
            <v>18.59</v>
          </cell>
          <cell r="N105">
            <v>21.52</v>
          </cell>
          <cell r="O105">
            <v>0</v>
          </cell>
          <cell r="P105">
            <v>0.47910000000000003</v>
          </cell>
          <cell r="R105">
            <v>1.0252300508275299E-3</v>
          </cell>
          <cell r="S105">
            <v>0</v>
          </cell>
          <cell r="T105">
            <v>0</v>
          </cell>
        </row>
        <row r="106">
          <cell r="A106" t="str">
            <v>HospitalPATROOM8_FLR_4</v>
          </cell>
          <cell r="B106" t="str">
            <v>STD2004</v>
          </cell>
          <cell r="C106" t="str">
            <v>Buffalo</v>
          </cell>
          <cell r="D106" t="str">
            <v>Hospital</v>
          </cell>
          <cell r="E106" t="str">
            <v>PATROOM8_FLR_4</v>
          </cell>
          <cell r="F106">
            <v>27.87</v>
          </cell>
          <cell r="G106">
            <v>1</v>
          </cell>
          <cell r="H106" t="str">
            <v>Yes</v>
          </cell>
          <cell r="I106" t="str">
            <v>VAV_PATRMS</v>
          </cell>
          <cell r="J106">
            <v>45.53</v>
          </cell>
          <cell r="K106">
            <v>11.45</v>
          </cell>
          <cell r="L106">
            <v>7.5347</v>
          </cell>
          <cell r="M106">
            <v>18.59</v>
          </cell>
          <cell r="N106">
            <v>21.52</v>
          </cell>
          <cell r="O106">
            <v>0</v>
          </cell>
          <cell r="P106">
            <v>6.6100000000000006E-2</v>
          </cell>
          <cell r="R106">
            <v>1.0252300508275299E-3</v>
          </cell>
          <cell r="S106">
            <v>0</v>
          </cell>
          <cell r="T106">
            <v>0</v>
          </cell>
        </row>
        <row r="107">
          <cell r="A107" t="str">
            <v>HospitalNURSESTN_LOBBY_FLR_4</v>
          </cell>
          <cell r="B107" t="str">
            <v>STD2004</v>
          </cell>
          <cell r="C107" t="str">
            <v>Buffalo</v>
          </cell>
          <cell r="D107" t="str">
            <v>Hospital</v>
          </cell>
          <cell r="E107" t="str">
            <v>NURSESTN_LOBBY_FLR_4</v>
          </cell>
          <cell r="F107">
            <v>905.8</v>
          </cell>
          <cell r="G107">
            <v>1</v>
          </cell>
          <cell r="H107" t="str">
            <v>Yes</v>
          </cell>
          <cell r="I107" t="str">
            <v>VAV_2</v>
          </cell>
          <cell r="J107">
            <v>0</v>
          </cell>
          <cell r="K107">
            <v>0</v>
          </cell>
          <cell r="L107">
            <v>12.7014</v>
          </cell>
          <cell r="M107">
            <v>69.7</v>
          </cell>
          <cell r="N107">
            <v>11.19</v>
          </cell>
          <cell r="O107">
            <v>0</v>
          </cell>
          <cell r="P107">
            <v>0</v>
          </cell>
          <cell r="R107">
            <v>1.0252300508275299E-3</v>
          </cell>
          <cell r="S107">
            <v>0</v>
          </cell>
          <cell r="T107">
            <v>0</v>
          </cell>
        </row>
        <row r="108">
          <cell r="A108" t="str">
            <v>HospitalLAB_FLR_4</v>
          </cell>
          <cell r="B108" t="str">
            <v>STD2004</v>
          </cell>
          <cell r="C108" t="str">
            <v>Buffalo</v>
          </cell>
          <cell r="D108" t="str">
            <v>Hospital</v>
          </cell>
          <cell r="E108" t="str">
            <v>LAB_FLR_4</v>
          </cell>
          <cell r="F108">
            <v>264.77</v>
          </cell>
          <cell r="G108">
            <v>1</v>
          </cell>
          <cell r="H108" t="str">
            <v>Yes</v>
          </cell>
          <cell r="I108" t="str">
            <v>VAV_LABS</v>
          </cell>
          <cell r="J108">
            <v>0</v>
          </cell>
          <cell r="K108">
            <v>0</v>
          </cell>
          <cell r="L108">
            <v>15.0695</v>
          </cell>
          <cell r="M108">
            <v>18.59</v>
          </cell>
          <cell r="N108">
            <v>43.04</v>
          </cell>
          <cell r="O108">
            <v>0</v>
          </cell>
          <cell r="P108">
            <v>0.13450000000000001</v>
          </cell>
          <cell r="R108">
            <v>1.0252300508275299E-3</v>
          </cell>
          <cell r="S108">
            <v>0</v>
          </cell>
          <cell r="T108">
            <v>0</v>
          </cell>
        </row>
        <row r="109">
          <cell r="A109" t="str">
            <v>HospitalCORRIDOR_SE_FLR_4</v>
          </cell>
          <cell r="B109" t="str">
            <v>STD2004</v>
          </cell>
          <cell r="C109" t="str">
            <v>Buffalo</v>
          </cell>
          <cell r="D109" t="str">
            <v>Hospital</v>
          </cell>
          <cell r="E109" t="str">
            <v>CORRIDOR_SE_FLR_4</v>
          </cell>
          <cell r="F109">
            <v>566.71</v>
          </cell>
          <cell r="G109">
            <v>1</v>
          </cell>
          <cell r="H109" t="str">
            <v>Yes</v>
          </cell>
          <cell r="I109" t="str">
            <v>VAV_2</v>
          </cell>
          <cell r="J109">
            <v>45.53</v>
          </cell>
          <cell r="K109">
            <v>0</v>
          </cell>
          <cell r="L109">
            <v>10.3927</v>
          </cell>
          <cell r="M109">
            <v>92.94</v>
          </cell>
          <cell r="N109">
            <v>0</v>
          </cell>
          <cell r="O109">
            <v>0</v>
          </cell>
          <cell r="P109">
            <v>0</v>
          </cell>
          <cell r="R109">
            <v>1.0252300508275299E-3</v>
          </cell>
          <cell r="S109">
            <v>0</v>
          </cell>
          <cell r="T109">
            <v>0</v>
          </cell>
        </row>
        <row r="110">
          <cell r="A110" t="str">
            <v>HospitalCORRIDOR_NW_FLR_4</v>
          </cell>
          <cell r="B110" t="str">
            <v>STD2004</v>
          </cell>
          <cell r="C110" t="str">
            <v>Buffalo</v>
          </cell>
          <cell r="D110" t="str">
            <v>Hospital</v>
          </cell>
          <cell r="E110" t="str">
            <v>CORRIDOR_NW_FLR_4</v>
          </cell>
          <cell r="F110">
            <v>566.71</v>
          </cell>
          <cell r="G110">
            <v>1</v>
          </cell>
          <cell r="H110" t="str">
            <v>Yes</v>
          </cell>
          <cell r="I110" t="str">
            <v>VAV_2</v>
          </cell>
          <cell r="J110">
            <v>45.53</v>
          </cell>
          <cell r="K110">
            <v>0</v>
          </cell>
          <cell r="L110">
            <v>10.3927</v>
          </cell>
          <cell r="M110">
            <v>92.94</v>
          </cell>
          <cell r="N110">
            <v>0</v>
          </cell>
          <cell r="O110">
            <v>0</v>
          </cell>
          <cell r="P110">
            <v>0</v>
          </cell>
          <cell r="R110">
            <v>1.0252300508275299E-3</v>
          </cell>
          <cell r="S110">
            <v>0</v>
          </cell>
          <cell r="T110">
            <v>0</v>
          </cell>
        </row>
        <row r="111">
          <cell r="A111" t="str">
            <v>HospitalDINING_FLR_5</v>
          </cell>
          <cell r="B111" t="str">
            <v>STD2004</v>
          </cell>
          <cell r="C111" t="str">
            <v>Buffalo</v>
          </cell>
          <cell r="D111" t="str">
            <v>Hospital</v>
          </cell>
          <cell r="E111" t="str">
            <v>DINING_FLR_5</v>
          </cell>
          <cell r="F111">
            <v>696.77</v>
          </cell>
          <cell r="G111">
            <v>1</v>
          </cell>
          <cell r="H111" t="str">
            <v>Yes</v>
          </cell>
          <cell r="I111" t="str">
            <v>VAV_2</v>
          </cell>
          <cell r="J111">
            <v>227.67</v>
          </cell>
          <cell r="K111">
            <v>35.770000000000003</v>
          </cell>
          <cell r="L111">
            <v>9.6875</v>
          </cell>
          <cell r="M111">
            <v>9.2899999999999991</v>
          </cell>
          <cell r="N111">
            <v>10.76</v>
          </cell>
          <cell r="O111">
            <v>0</v>
          </cell>
          <cell r="P111">
            <v>0</v>
          </cell>
          <cell r="Q111">
            <v>0</v>
          </cell>
          <cell r="R111">
            <v>1.0252300508275299E-3</v>
          </cell>
          <cell r="S111">
            <v>0</v>
          </cell>
          <cell r="T111">
            <v>0</v>
          </cell>
        </row>
        <row r="112">
          <cell r="A112" t="str">
            <v>HospitalNURSESTN_LOBBY_FLR_5</v>
          </cell>
          <cell r="B112" t="str">
            <v>STD2004</v>
          </cell>
          <cell r="C112" t="str">
            <v>Buffalo</v>
          </cell>
          <cell r="D112" t="str">
            <v>Hospital</v>
          </cell>
          <cell r="E112" t="str">
            <v>NURSESTN_LOBBY_FLR_5</v>
          </cell>
          <cell r="F112">
            <v>1040.51</v>
          </cell>
          <cell r="G112">
            <v>1</v>
          </cell>
          <cell r="H112" t="str">
            <v>Yes</v>
          </cell>
          <cell r="I112" t="str">
            <v>VAV_2</v>
          </cell>
          <cell r="J112">
            <v>104.08</v>
          </cell>
          <cell r="K112">
            <v>0</v>
          </cell>
          <cell r="L112">
            <v>12.7014</v>
          </cell>
          <cell r="M112">
            <v>69.7</v>
          </cell>
          <cell r="N112">
            <v>11.19</v>
          </cell>
          <cell r="O112">
            <v>0</v>
          </cell>
          <cell r="P112">
            <v>0</v>
          </cell>
          <cell r="Q112">
            <v>0</v>
          </cell>
          <cell r="R112">
            <v>1.0252300508275299E-3</v>
          </cell>
          <cell r="S112">
            <v>0</v>
          </cell>
          <cell r="T112">
            <v>0</v>
          </cell>
        </row>
        <row r="113">
          <cell r="A113" t="str">
            <v>HospitalKITCHEN_FLR_5</v>
          </cell>
          <cell r="B113" t="str">
            <v>STD2004</v>
          </cell>
          <cell r="C113" t="str">
            <v>Buffalo</v>
          </cell>
          <cell r="D113" t="str">
            <v>Hospital</v>
          </cell>
          <cell r="E113" t="str">
            <v>KITCHEN_FLR_5</v>
          </cell>
          <cell r="F113">
            <v>929.03</v>
          </cell>
          <cell r="G113">
            <v>1</v>
          </cell>
          <cell r="H113" t="str">
            <v>Yes</v>
          </cell>
          <cell r="I113" t="str">
            <v>CAV_KITCHEN</v>
          </cell>
          <cell r="J113">
            <v>260.2</v>
          </cell>
          <cell r="K113">
            <v>0</v>
          </cell>
          <cell r="L113">
            <v>12.916700000000001</v>
          </cell>
          <cell r="M113">
            <v>18.59</v>
          </cell>
          <cell r="N113">
            <v>244.5857</v>
          </cell>
          <cell r="O113">
            <v>149945.50659999999</v>
          </cell>
          <cell r="P113">
            <v>0.35399999999999998</v>
          </cell>
          <cell r="Q113">
            <v>3.78</v>
          </cell>
          <cell r="R113">
            <v>1.0252300508275299E-3</v>
          </cell>
          <cell r="S113">
            <v>0</v>
          </cell>
          <cell r="T113">
            <v>0</v>
          </cell>
        </row>
        <row r="114">
          <cell r="A114" t="str">
            <v>HospitalOFFICE1_FLR_5</v>
          </cell>
          <cell r="B114" t="str">
            <v>STD2004</v>
          </cell>
          <cell r="C114" t="str">
            <v>Buffalo</v>
          </cell>
          <cell r="D114" t="str">
            <v>Hospital</v>
          </cell>
          <cell r="E114" t="str">
            <v>OFFICE1_FLR_5</v>
          </cell>
          <cell r="F114">
            <v>69.7</v>
          </cell>
          <cell r="G114">
            <v>1</v>
          </cell>
          <cell r="H114" t="str">
            <v>Yes</v>
          </cell>
          <cell r="I114" t="str">
            <v>VAV_2</v>
          </cell>
          <cell r="J114">
            <v>71.56</v>
          </cell>
          <cell r="K114">
            <v>17.989999999999998</v>
          </cell>
          <cell r="L114">
            <v>11.840299999999999</v>
          </cell>
          <cell r="M114">
            <v>13.28</v>
          </cell>
          <cell r="N114">
            <v>10.76</v>
          </cell>
          <cell r="O114">
            <v>0</v>
          </cell>
          <cell r="P114">
            <v>0</v>
          </cell>
          <cell r="Q114">
            <v>0</v>
          </cell>
          <cell r="R114">
            <v>1.0252300508275299E-3</v>
          </cell>
          <cell r="S114">
            <v>0</v>
          </cell>
          <cell r="T114">
            <v>0</v>
          </cell>
        </row>
        <row r="115">
          <cell r="A115" t="str">
            <v>HospitalOFFICE2_MULT5_FLR_5</v>
          </cell>
          <cell r="B115" t="str">
            <v>STD2004</v>
          </cell>
          <cell r="C115" t="str">
            <v>Buffalo</v>
          </cell>
          <cell r="D115" t="str">
            <v>Hospital</v>
          </cell>
          <cell r="E115" t="str">
            <v>OFFICE2_MULT5_FLR_5</v>
          </cell>
          <cell r="F115">
            <v>69.680000000000007</v>
          </cell>
          <cell r="G115">
            <v>5</v>
          </cell>
          <cell r="H115" t="str">
            <v>Yes</v>
          </cell>
          <cell r="I115" t="str">
            <v>VAV_2</v>
          </cell>
          <cell r="J115">
            <v>32.520000000000003</v>
          </cell>
          <cell r="K115">
            <v>8.18</v>
          </cell>
          <cell r="L115">
            <v>11.840299999999999</v>
          </cell>
          <cell r="M115">
            <v>13.28</v>
          </cell>
          <cell r="N115">
            <v>10.76</v>
          </cell>
          <cell r="O115">
            <v>0</v>
          </cell>
          <cell r="P115">
            <v>0</v>
          </cell>
          <cell r="Q115">
            <v>0</v>
          </cell>
          <cell r="R115">
            <v>1.0252300508275299E-3</v>
          </cell>
          <cell r="S115">
            <v>0</v>
          </cell>
          <cell r="T115">
            <v>0</v>
          </cell>
        </row>
        <row r="116">
          <cell r="A116" t="str">
            <v>HospitalOFFICE3_FLR_5</v>
          </cell>
          <cell r="B116" t="str">
            <v>STD2004</v>
          </cell>
          <cell r="C116" t="str">
            <v>Buffalo</v>
          </cell>
          <cell r="D116" t="str">
            <v>Hospital</v>
          </cell>
          <cell r="E116" t="str">
            <v>OFFICE3_FLR_5</v>
          </cell>
          <cell r="F116">
            <v>69.680000000000007</v>
          </cell>
          <cell r="G116">
            <v>1</v>
          </cell>
          <cell r="H116" t="str">
            <v>Yes</v>
          </cell>
          <cell r="I116" t="str">
            <v>VAV_2</v>
          </cell>
          <cell r="J116">
            <v>71.55</v>
          </cell>
          <cell r="K116">
            <v>17.989999999999998</v>
          </cell>
          <cell r="L116">
            <v>11.840299999999999</v>
          </cell>
          <cell r="M116">
            <v>13.28</v>
          </cell>
          <cell r="N116">
            <v>10.76</v>
          </cell>
          <cell r="O116">
            <v>0</v>
          </cell>
          <cell r="P116">
            <v>0</v>
          </cell>
          <cell r="Q116">
            <v>0</v>
          </cell>
          <cell r="R116">
            <v>1.0252300508275299E-3</v>
          </cell>
          <cell r="S116">
            <v>0</v>
          </cell>
          <cell r="T116">
            <v>0</v>
          </cell>
        </row>
        <row r="117">
          <cell r="A117" t="str">
            <v>HospitalOFFICE4_MULT6_FLR_5</v>
          </cell>
          <cell r="B117" t="str">
            <v>STD2004</v>
          </cell>
          <cell r="C117" t="str">
            <v>Buffalo</v>
          </cell>
          <cell r="D117" t="str">
            <v>Hospital</v>
          </cell>
          <cell r="E117" t="str">
            <v>OFFICE4_MULT6_FLR_5</v>
          </cell>
          <cell r="F117">
            <v>13.94</v>
          </cell>
          <cell r="G117">
            <v>6</v>
          </cell>
          <cell r="H117" t="str">
            <v>Yes</v>
          </cell>
          <cell r="I117" t="str">
            <v>VAV_2</v>
          </cell>
          <cell r="J117">
            <v>13.01</v>
          </cell>
          <cell r="K117">
            <v>2.96</v>
          </cell>
          <cell r="L117">
            <v>11.840299999999999</v>
          </cell>
          <cell r="M117">
            <v>13.27</v>
          </cell>
          <cell r="N117">
            <v>10.76</v>
          </cell>
          <cell r="O117">
            <v>0</v>
          </cell>
          <cell r="P117">
            <v>0</v>
          </cell>
          <cell r="Q117">
            <v>0</v>
          </cell>
          <cell r="R117">
            <v>1.0252300508275299E-3</v>
          </cell>
          <cell r="S117">
            <v>0</v>
          </cell>
          <cell r="T117">
            <v>0</v>
          </cell>
        </row>
        <row r="118">
          <cell r="A118" t="str">
            <v>HospitalCORRIDOR_FLR_5</v>
          </cell>
          <cell r="B118" t="str">
            <v>STD2004</v>
          </cell>
          <cell r="C118" t="str">
            <v>Buffalo</v>
          </cell>
          <cell r="D118" t="str">
            <v>Hospital</v>
          </cell>
          <cell r="E118" t="str">
            <v>CORRIDOR_FLR_5</v>
          </cell>
          <cell r="F118">
            <v>501.68</v>
          </cell>
          <cell r="G118">
            <v>1</v>
          </cell>
          <cell r="H118" t="str">
            <v>Yes</v>
          </cell>
          <cell r="I118" t="str">
            <v>VAV_2</v>
          </cell>
          <cell r="J118">
            <v>78.06</v>
          </cell>
          <cell r="K118">
            <v>0</v>
          </cell>
          <cell r="L118">
            <v>10.3927</v>
          </cell>
          <cell r="M118">
            <v>92.94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1.0252300508275299E-3</v>
          </cell>
          <cell r="S118">
            <v>0</v>
          </cell>
          <cell r="T118">
            <v>0</v>
          </cell>
        </row>
        <row r="119">
          <cell r="A119" t="str">
            <v>HospitalTotal</v>
          </cell>
          <cell r="B119" t="str">
            <v>STD2004</v>
          </cell>
          <cell r="C119" t="str">
            <v>Buffalo</v>
          </cell>
          <cell r="D119" t="str">
            <v>Hospital</v>
          </cell>
          <cell r="E119" t="str">
            <v>Total</v>
          </cell>
          <cell r="F119">
            <v>22436.18</v>
          </cell>
          <cell r="J119">
            <v>5197.4399999999996</v>
          </cell>
          <cell r="K119">
            <v>848.5</v>
          </cell>
          <cell r="L119">
            <v>11.552300000000001</v>
          </cell>
          <cell r="M119">
            <v>28.35</v>
          </cell>
          <cell r="N119">
            <v>23.898499999999999</v>
          </cell>
          <cell r="O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A120" t="str">
            <v>HospitalConditioned Total</v>
          </cell>
          <cell r="B120" t="str">
            <v>STD2004</v>
          </cell>
          <cell r="C120" t="str">
            <v>Buffalo</v>
          </cell>
          <cell r="D120" t="str">
            <v>Hospital</v>
          </cell>
          <cell r="E120" t="str">
            <v>Conditioned Total</v>
          </cell>
          <cell r="F120">
            <v>22436.18</v>
          </cell>
          <cell r="J120">
            <v>5197.4399999999996</v>
          </cell>
          <cell r="K120">
            <v>848.5</v>
          </cell>
          <cell r="L120">
            <v>11.552300000000001</v>
          </cell>
          <cell r="M120">
            <v>28.35</v>
          </cell>
          <cell r="N120">
            <v>23.898499999999999</v>
          </cell>
          <cell r="O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A121" t="str">
            <v>HospitalUnconditioned Total</v>
          </cell>
          <cell r="B121" t="str">
            <v>STD2004</v>
          </cell>
          <cell r="C121" t="str">
            <v>Buffalo</v>
          </cell>
          <cell r="D121" t="str">
            <v>Hospital</v>
          </cell>
          <cell r="E121" t="str">
            <v>Unconditioned Total</v>
          </cell>
          <cell r="F121">
            <v>0</v>
          </cell>
          <cell r="J121">
            <v>0</v>
          </cell>
          <cell r="K121">
            <v>0</v>
          </cell>
          <cell r="O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A122" t="str">
            <v>HospitalNot Part of Total</v>
          </cell>
          <cell r="B122" t="str">
            <v>STD2004</v>
          </cell>
          <cell r="C122" t="str">
            <v>Buffalo</v>
          </cell>
          <cell r="D122" t="str">
            <v>Hospital</v>
          </cell>
          <cell r="E122" t="str">
            <v>Not Part of Total</v>
          </cell>
          <cell r="F122">
            <v>0</v>
          </cell>
          <cell r="J122">
            <v>0</v>
          </cell>
          <cell r="K122">
            <v>0</v>
          </cell>
          <cell r="O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A123" t="str">
            <v>HotelLargeBASEMENT</v>
          </cell>
          <cell r="B123" t="str">
            <v>STD2004</v>
          </cell>
          <cell r="C123" t="str">
            <v>Buffalo</v>
          </cell>
          <cell r="D123" t="str">
            <v>HotelLarge</v>
          </cell>
          <cell r="E123" t="str">
            <v>BASEMENT</v>
          </cell>
          <cell r="F123">
            <v>1978.83</v>
          </cell>
          <cell r="G123">
            <v>1</v>
          </cell>
          <cell r="H123" t="str">
            <v>Yes</v>
          </cell>
          <cell r="I123" t="str">
            <v>VAV WITH REHEAT</v>
          </cell>
          <cell r="J123">
            <v>0</v>
          </cell>
          <cell r="K123">
            <v>0</v>
          </cell>
          <cell r="L123">
            <v>11.0679</v>
          </cell>
          <cell r="M123">
            <v>18.579999999999998</v>
          </cell>
          <cell r="N123">
            <v>5.38</v>
          </cell>
          <cell r="O123">
            <v>0</v>
          </cell>
          <cell r="P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A124" t="str">
            <v>HotelLargeRETAIL_1_FLR_1</v>
          </cell>
          <cell r="B124" t="str">
            <v>STD2004</v>
          </cell>
          <cell r="C124" t="str">
            <v>Buffalo</v>
          </cell>
          <cell r="D124" t="str">
            <v>HotelLarge</v>
          </cell>
          <cell r="E124" t="str">
            <v>RETAIL_1_FLR_1</v>
          </cell>
          <cell r="F124">
            <v>67.069999999999993</v>
          </cell>
          <cell r="G124">
            <v>1</v>
          </cell>
          <cell r="H124" t="str">
            <v>Yes</v>
          </cell>
          <cell r="I124" t="str">
            <v>VAV WITH REHEAT</v>
          </cell>
          <cell r="J124">
            <v>68.84</v>
          </cell>
          <cell r="K124">
            <v>23.26</v>
          </cell>
          <cell r="L124">
            <v>16.145800000000001</v>
          </cell>
          <cell r="M124">
            <v>6.19</v>
          </cell>
          <cell r="N124">
            <v>10.76</v>
          </cell>
          <cell r="O124">
            <v>0</v>
          </cell>
          <cell r="P124">
            <v>0</v>
          </cell>
          <cell r="R124">
            <v>1.0252300508275299E-3</v>
          </cell>
          <cell r="S124">
            <v>0</v>
          </cell>
          <cell r="T124">
            <v>0</v>
          </cell>
        </row>
        <row r="125">
          <cell r="A125" t="str">
            <v>HotelLargeRETAIL_2_FLR_1</v>
          </cell>
          <cell r="B125" t="str">
            <v>STD2004</v>
          </cell>
          <cell r="C125" t="str">
            <v>Buffalo</v>
          </cell>
          <cell r="D125" t="str">
            <v>HotelLarge</v>
          </cell>
          <cell r="E125" t="str">
            <v>RETAIL_2_FLR_1</v>
          </cell>
          <cell r="F125">
            <v>77.67</v>
          </cell>
          <cell r="G125">
            <v>1</v>
          </cell>
          <cell r="H125" t="str">
            <v>Yes</v>
          </cell>
          <cell r="I125" t="str">
            <v>VAV WITH REHEAT</v>
          </cell>
          <cell r="J125">
            <v>26.57</v>
          </cell>
          <cell r="K125">
            <v>0</v>
          </cell>
          <cell r="L125">
            <v>16.145800000000001</v>
          </cell>
          <cell r="M125">
            <v>6.19</v>
          </cell>
          <cell r="N125">
            <v>10.76</v>
          </cell>
          <cell r="O125">
            <v>0</v>
          </cell>
          <cell r="P125">
            <v>0</v>
          </cell>
          <cell r="R125">
            <v>1.0252300508275299E-3</v>
          </cell>
          <cell r="S125">
            <v>0</v>
          </cell>
          <cell r="T125">
            <v>0</v>
          </cell>
        </row>
        <row r="126">
          <cell r="A126" t="str">
            <v>HotelLargeMECH_FLR_1</v>
          </cell>
          <cell r="B126" t="str">
            <v>STD2004</v>
          </cell>
          <cell r="C126" t="str">
            <v>Buffalo</v>
          </cell>
          <cell r="D126" t="str">
            <v>HotelLarge</v>
          </cell>
          <cell r="E126" t="str">
            <v>MECH_FLR_1</v>
          </cell>
          <cell r="F126">
            <v>164.24</v>
          </cell>
          <cell r="G126">
            <v>1</v>
          </cell>
          <cell r="H126" t="str">
            <v>Yes</v>
          </cell>
          <cell r="I126" t="str">
            <v>VAV WITH REHEAT</v>
          </cell>
          <cell r="J126">
            <v>62.8</v>
          </cell>
          <cell r="K126">
            <v>0</v>
          </cell>
          <cell r="L126">
            <v>16.145800000000001</v>
          </cell>
          <cell r="M126">
            <v>61.93</v>
          </cell>
          <cell r="N126">
            <v>5.38</v>
          </cell>
          <cell r="O126">
            <v>0</v>
          </cell>
          <cell r="P126">
            <v>0</v>
          </cell>
          <cell r="R126">
            <v>1.0252300508275299E-3</v>
          </cell>
          <cell r="S126">
            <v>0</v>
          </cell>
          <cell r="T126">
            <v>0</v>
          </cell>
        </row>
        <row r="127">
          <cell r="A127" t="str">
            <v>HotelLargeSTORAGE_FLR_1</v>
          </cell>
          <cell r="B127" t="str">
            <v>STD2004</v>
          </cell>
          <cell r="C127" t="str">
            <v>Buffalo</v>
          </cell>
          <cell r="D127" t="str">
            <v>HotelLarge</v>
          </cell>
          <cell r="E127" t="str">
            <v>STORAGE_FLR_1</v>
          </cell>
          <cell r="F127">
            <v>94.76</v>
          </cell>
          <cell r="G127">
            <v>1</v>
          </cell>
          <cell r="H127" t="str">
            <v>Yes</v>
          </cell>
          <cell r="I127" t="str">
            <v>VAV WITH REHEAT</v>
          </cell>
          <cell r="J127">
            <v>36.229999999999997</v>
          </cell>
          <cell r="K127">
            <v>0</v>
          </cell>
          <cell r="L127">
            <v>8.6111000000000004</v>
          </cell>
          <cell r="M127">
            <v>46.45</v>
          </cell>
          <cell r="N127">
            <v>2.69</v>
          </cell>
          <cell r="O127">
            <v>0</v>
          </cell>
          <cell r="P127">
            <v>0</v>
          </cell>
          <cell r="R127">
            <v>1.0252300508275299E-3</v>
          </cell>
          <cell r="S127">
            <v>0</v>
          </cell>
          <cell r="T127">
            <v>0</v>
          </cell>
        </row>
        <row r="128">
          <cell r="A128" t="str">
            <v>HotelLargeLAUNDRY_FLR_1</v>
          </cell>
          <cell r="B128" t="str">
            <v>STD2004</v>
          </cell>
          <cell r="C128" t="str">
            <v>Buffalo</v>
          </cell>
          <cell r="D128" t="str">
            <v>HotelLarge</v>
          </cell>
          <cell r="E128" t="str">
            <v>LAUNDRY_FLR_1</v>
          </cell>
          <cell r="F128">
            <v>78.040000000000006</v>
          </cell>
          <cell r="G128">
            <v>1</v>
          </cell>
          <cell r="H128" t="str">
            <v>Yes</v>
          </cell>
          <cell r="I128" t="str">
            <v>VAV WITH REHEAT</v>
          </cell>
          <cell r="J128">
            <v>85.75</v>
          </cell>
          <cell r="K128">
            <v>0</v>
          </cell>
          <cell r="L128">
            <v>6.4583000000000004</v>
          </cell>
          <cell r="M128">
            <v>9.2899999999999991</v>
          </cell>
          <cell r="N128">
            <v>597.53</v>
          </cell>
          <cell r="O128">
            <v>41817.448900000003</v>
          </cell>
          <cell r="P128">
            <v>0</v>
          </cell>
          <cell r="Q128">
            <v>0.24</v>
          </cell>
          <cell r="R128">
            <v>1.0252300508275299E-3</v>
          </cell>
          <cell r="S128">
            <v>0</v>
          </cell>
          <cell r="T128">
            <v>0</v>
          </cell>
        </row>
        <row r="129">
          <cell r="A129" t="str">
            <v>HotelLargeCAFE_FLR_1</v>
          </cell>
          <cell r="B129" t="str">
            <v>STD2004</v>
          </cell>
          <cell r="C129" t="str">
            <v>Buffalo</v>
          </cell>
          <cell r="D129" t="str">
            <v>HotelLarge</v>
          </cell>
          <cell r="E129" t="str">
            <v>CAFE_FLR_1</v>
          </cell>
          <cell r="F129">
            <v>188.86</v>
          </cell>
          <cell r="G129">
            <v>1</v>
          </cell>
          <cell r="H129" t="str">
            <v>Yes</v>
          </cell>
          <cell r="I129" t="str">
            <v>VAV WITH REHEAT</v>
          </cell>
          <cell r="J129">
            <v>152.16999999999999</v>
          </cell>
          <cell r="K129">
            <v>65.5</v>
          </cell>
          <cell r="L129">
            <v>15.0695</v>
          </cell>
          <cell r="M129">
            <v>1.33</v>
          </cell>
          <cell r="N129">
            <v>5.38</v>
          </cell>
          <cell r="O129">
            <v>0</v>
          </cell>
          <cell r="P129">
            <v>0</v>
          </cell>
          <cell r="R129">
            <v>1.0252300508275299E-3</v>
          </cell>
          <cell r="S129">
            <v>0</v>
          </cell>
          <cell r="T129">
            <v>0</v>
          </cell>
        </row>
        <row r="130">
          <cell r="A130" t="str">
            <v>HotelLargeLOBBY_FLR_1</v>
          </cell>
          <cell r="B130" t="str">
            <v>STD2004</v>
          </cell>
          <cell r="C130" t="str">
            <v>Buffalo</v>
          </cell>
          <cell r="D130" t="str">
            <v>HotelLarge</v>
          </cell>
          <cell r="E130" t="str">
            <v>LOBBY_FLR_1</v>
          </cell>
          <cell r="F130">
            <v>1308.19</v>
          </cell>
          <cell r="G130">
            <v>1</v>
          </cell>
          <cell r="H130" t="str">
            <v>Yes</v>
          </cell>
          <cell r="I130" t="str">
            <v>VAV WITH REHEAT</v>
          </cell>
          <cell r="J130">
            <v>434.79</v>
          </cell>
          <cell r="K130">
            <v>85.08</v>
          </cell>
          <cell r="L130">
            <v>13.9931</v>
          </cell>
          <cell r="M130">
            <v>3.1</v>
          </cell>
          <cell r="N130">
            <v>8.07</v>
          </cell>
          <cell r="O130">
            <v>0</v>
          </cell>
          <cell r="P130">
            <v>0</v>
          </cell>
          <cell r="Q130">
            <v>0</v>
          </cell>
          <cell r="R130">
            <v>1.0252300508275299E-3</v>
          </cell>
          <cell r="S130">
            <v>0</v>
          </cell>
          <cell r="T130">
            <v>0</v>
          </cell>
        </row>
        <row r="131">
          <cell r="A131" t="str">
            <v>HotelLargeROOM_1_FLR_3</v>
          </cell>
          <cell r="B131" t="str">
            <v>STD2004</v>
          </cell>
          <cell r="C131" t="str">
            <v>Buffalo</v>
          </cell>
          <cell r="D131" t="str">
            <v>HotelLarge</v>
          </cell>
          <cell r="E131" t="str">
            <v>ROOM_1_FLR_3</v>
          </cell>
          <cell r="F131">
            <v>39.020000000000003</v>
          </cell>
          <cell r="G131">
            <v>4</v>
          </cell>
          <cell r="H131" t="str">
            <v>Yes</v>
          </cell>
          <cell r="I131" t="str">
            <v>FLR_3_DOAS</v>
          </cell>
          <cell r="J131">
            <v>39.950000000000003</v>
          </cell>
          <cell r="K131">
            <v>13.18</v>
          </cell>
          <cell r="L131">
            <v>11.840299999999999</v>
          </cell>
          <cell r="M131">
            <v>26.01</v>
          </cell>
          <cell r="N131">
            <v>6.75</v>
          </cell>
          <cell r="O131">
            <v>0</v>
          </cell>
          <cell r="P131">
            <v>0</v>
          </cell>
          <cell r="R131">
            <v>1.0252300508275299E-3</v>
          </cell>
          <cell r="S131">
            <v>0</v>
          </cell>
          <cell r="T131">
            <v>0</v>
          </cell>
        </row>
        <row r="132">
          <cell r="A132" t="str">
            <v>HotelLargeROOM_2_FLR_3</v>
          </cell>
          <cell r="B132" t="str">
            <v>STD2004</v>
          </cell>
          <cell r="C132" t="str">
            <v>Buffalo</v>
          </cell>
          <cell r="D132" t="str">
            <v>HotelLarge</v>
          </cell>
          <cell r="E132" t="str">
            <v>ROOM_2_FLR_3</v>
          </cell>
          <cell r="F132">
            <v>39.020000000000003</v>
          </cell>
          <cell r="G132">
            <v>4</v>
          </cell>
          <cell r="H132" t="str">
            <v>Yes</v>
          </cell>
          <cell r="I132" t="str">
            <v>FLR_3_DOAS</v>
          </cell>
          <cell r="J132">
            <v>39.950000000000003</v>
          </cell>
          <cell r="K132">
            <v>13.18</v>
          </cell>
          <cell r="L132">
            <v>11.840299999999999</v>
          </cell>
          <cell r="M132">
            <v>26.01</v>
          </cell>
          <cell r="N132">
            <v>6.75</v>
          </cell>
          <cell r="O132">
            <v>0</v>
          </cell>
          <cell r="P132">
            <v>0</v>
          </cell>
          <cell r="R132">
            <v>1.0252300508275299E-3</v>
          </cell>
          <cell r="S132">
            <v>0</v>
          </cell>
          <cell r="T132">
            <v>0</v>
          </cell>
        </row>
        <row r="133">
          <cell r="A133" t="str">
            <v>HotelLargeROOM_3_MULT19_FLR_3</v>
          </cell>
          <cell r="B133" t="str">
            <v>STD2004</v>
          </cell>
          <cell r="C133" t="str">
            <v>Buffalo</v>
          </cell>
          <cell r="D133" t="str">
            <v>HotelLarge</v>
          </cell>
          <cell r="E133" t="str">
            <v>ROOM_3_MULT19_FLR_3</v>
          </cell>
          <cell r="F133">
            <v>24.52</v>
          </cell>
          <cell r="G133">
            <v>76</v>
          </cell>
          <cell r="H133" t="str">
            <v>Yes</v>
          </cell>
          <cell r="I133" t="str">
            <v>FLR_3_DOAS</v>
          </cell>
          <cell r="J133">
            <v>11.15</v>
          </cell>
          <cell r="K133">
            <v>3.68</v>
          </cell>
          <cell r="L133">
            <v>11.840299999999999</v>
          </cell>
          <cell r="M133">
            <v>16.350000000000001</v>
          </cell>
          <cell r="N133">
            <v>10.52</v>
          </cell>
          <cell r="O133">
            <v>0</v>
          </cell>
          <cell r="P133">
            <v>0</v>
          </cell>
          <cell r="R133">
            <v>1.0252300508275299E-3</v>
          </cell>
          <cell r="S133">
            <v>0</v>
          </cell>
          <cell r="T133">
            <v>0</v>
          </cell>
        </row>
        <row r="134">
          <cell r="A134" t="str">
            <v>HotelLargeROOM_4_MULT19_FLR_3</v>
          </cell>
          <cell r="B134" t="str">
            <v>STD2004</v>
          </cell>
          <cell r="C134" t="str">
            <v>Buffalo</v>
          </cell>
          <cell r="D134" t="str">
            <v>HotelLarge</v>
          </cell>
          <cell r="E134" t="str">
            <v>ROOM_4_MULT19_FLR_3</v>
          </cell>
          <cell r="F134">
            <v>24.53</v>
          </cell>
          <cell r="G134">
            <v>76</v>
          </cell>
          <cell r="H134" t="str">
            <v>Yes</v>
          </cell>
          <cell r="I134" t="str">
            <v>FLR_3_DOAS</v>
          </cell>
          <cell r="J134">
            <v>11.15</v>
          </cell>
          <cell r="K134">
            <v>3.68</v>
          </cell>
          <cell r="L134">
            <v>11.840299999999999</v>
          </cell>
          <cell r="M134">
            <v>16.350000000000001</v>
          </cell>
          <cell r="N134">
            <v>10.52</v>
          </cell>
          <cell r="O134">
            <v>0</v>
          </cell>
          <cell r="P134">
            <v>0</v>
          </cell>
          <cell r="R134">
            <v>1.0252300508275299E-3</v>
          </cell>
          <cell r="S134">
            <v>0</v>
          </cell>
          <cell r="T134">
            <v>0</v>
          </cell>
        </row>
        <row r="135">
          <cell r="A135" t="str">
            <v>HotelLargeROOM_5_FLR_3</v>
          </cell>
          <cell r="B135" t="str">
            <v>STD2004</v>
          </cell>
          <cell r="C135" t="str">
            <v>Buffalo</v>
          </cell>
          <cell r="D135" t="str">
            <v>HotelLarge</v>
          </cell>
          <cell r="E135" t="str">
            <v>ROOM_5_FLR_3</v>
          </cell>
          <cell r="F135">
            <v>39.020000000000003</v>
          </cell>
          <cell r="G135">
            <v>4</v>
          </cell>
          <cell r="H135" t="str">
            <v>Yes</v>
          </cell>
          <cell r="I135" t="str">
            <v>FLR_3_DOAS</v>
          </cell>
          <cell r="J135">
            <v>39.950000000000003</v>
          </cell>
          <cell r="K135">
            <v>13.18</v>
          </cell>
          <cell r="L135">
            <v>11.840299999999999</v>
          </cell>
          <cell r="M135">
            <v>26.01</v>
          </cell>
          <cell r="N135">
            <v>6.75</v>
          </cell>
          <cell r="O135">
            <v>0</v>
          </cell>
          <cell r="P135">
            <v>0</v>
          </cell>
          <cell r="R135">
            <v>1.0252300508275299E-3</v>
          </cell>
          <cell r="S135">
            <v>0</v>
          </cell>
          <cell r="T135">
            <v>0</v>
          </cell>
        </row>
        <row r="136">
          <cell r="A136" t="str">
            <v>HotelLargeROOM_6_FLR_3</v>
          </cell>
          <cell r="B136" t="str">
            <v>STD2004</v>
          </cell>
          <cell r="C136" t="str">
            <v>Buffalo</v>
          </cell>
          <cell r="D136" t="str">
            <v>HotelLarge</v>
          </cell>
          <cell r="E136" t="str">
            <v>ROOM_6_FLR_3</v>
          </cell>
          <cell r="F136">
            <v>39.020000000000003</v>
          </cell>
          <cell r="G136">
            <v>4</v>
          </cell>
          <cell r="H136" t="str">
            <v>Yes</v>
          </cell>
          <cell r="I136" t="str">
            <v>FLR_3_DOAS</v>
          </cell>
          <cell r="J136">
            <v>39.950000000000003</v>
          </cell>
          <cell r="K136">
            <v>13.18</v>
          </cell>
          <cell r="L136">
            <v>11.840299999999999</v>
          </cell>
          <cell r="M136">
            <v>26.01</v>
          </cell>
          <cell r="N136">
            <v>6.75</v>
          </cell>
          <cell r="O136">
            <v>0</v>
          </cell>
          <cell r="P136">
            <v>0</v>
          </cell>
          <cell r="R136">
            <v>1.0252300508275299E-3</v>
          </cell>
          <cell r="S136">
            <v>0</v>
          </cell>
          <cell r="T136">
            <v>0</v>
          </cell>
        </row>
        <row r="137">
          <cell r="A137" t="str">
            <v>HotelLargeCORRIDOR_FLR_3</v>
          </cell>
          <cell r="B137" t="str">
            <v>STD2004</v>
          </cell>
          <cell r="C137" t="str">
            <v>Buffalo</v>
          </cell>
          <cell r="D137" t="str">
            <v>HotelLarge</v>
          </cell>
          <cell r="E137" t="str">
            <v>CORRIDOR_FLR_3</v>
          </cell>
          <cell r="F137">
            <v>389.4</v>
          </cell>
          <cell r="G137">
            <v>4</v>
          </cell>
          <cell r="H137" t="str">
            <v>Yes</v>
          </cell>
          <cell r="I137" t="str">
            <v>VAV WITH REHEAT</v>
          </cell>
          <cell r="J137">
            <v>48.31</v>
          </cell>
          <cell r="K137">
            <v>15.94</v>
          </cell>
          <cell r="L137">
            <v>5.3818999999999999</v>
          </cell>
          <cell r="M137">
            <v>18.579999999999998</v>
          </cell>
          <cell r="N137">
            <v>0</v>
          </cell>
          <cell r="O137">
            <v>0</v>
          </cell>
          <cell r="P137">
            <v>0</v>
          </cell>
          <cell r="R137">
            <v>1.0252300508275299E-3</v>
          </cell>
          <cell r="S137">
            <v>0</v>
          </cell>
          <cell r="T137">
            <v>0</v>
          </cell>
        </row>
        <row r="138">
          <cell r="A138" t="str">
            <v>HotelLargeROOM_1_FLR_6</v>
          </cell>
          <cell r="B138" t="str">
            <v>STD2004</v>
          </cell>
          <cell r="C138" t="str">
            <v>Buffalo</v>
          </cell>
          <cell r="D138" t="str">
            <v>HotelLarge</v>
          </cell>
          <cell r="E138" t="str">
            <v>ROOM_1_FLR_6</v>
          </cell>
          <cell r="F138">
            <v>39.020000000000003</v>
          </cell>
          <cell r="G138">
            <v>1</v>
          </cell>
          <cell r="H138" t="str">
            <v>Yes</v>
          </cell>
          <cell r="I138" t="str">
            <v>FLR_3_DOAS</v>
          </cell>
          <cell r="J138">
            <v>39.950000000000003</v>
          </cell>
          <cell r="K138">
            <v>13.18</v>
          </cell>
          <cell r="L138">
            <v>11.840299999999999</v>
          </cell>
          <cell r="M138">
            <v>26.01</v>
          </cell>
          <cell r="N138">
            <v>6.75</v>
          </cell>
          <cell r="O138">
            <v>0</v>
          </cell>
          <cell r="P138">
            <v>0</v>
          </cell>
          <cell r="R138">
            <v>1.0252300508275299E-3</v>
          </cell>
          <cell r="S138">
            <v>0</v>
          </cell>
          <cell r="T138">
            <v>0</v>
          </cell>
        </row>
        <row r="139">
          <cell r="A139" t="str">
            <v>HotelLargeROOM_2_FLR_6</v>
          </cell>
          <cell r="B139" t="str">
            <v>STD2004</v>
          </cell>
          <cell r="C139" t="str">
            <v>Buffalo</v>
          </cell>
          <cell r="D139" t="str">
            <v>HotelLarge</v>
          </cell>
          <cell r="E139" t="str">
            <v>ROOM_2_FLR_6</v>
          </cell>
          <cell r="F139">
            <v>39.020000000000003</v>
          </cell>
          <cell r="G139">
            <v>1</v>
          </cell>
          <cell r="H139" t="str">
            <v>Yes</v>
          </cell>
          <cell r="I139" t="str">
            <v>FLR_3_DOAS</v>
          </cell>
          <cell r="J139">
            <v>39.950000000000003</v>
          </cell>
          <cell r="K139">
            <v>13.18</v>
          </cell>
          <cell r="L139">
            <v>11.840299999999999</v>
          </cell>
          <cell r="M139">
            <v>26.01</v>
          </cell>
          <cell r="N139">
            <v>6.75</v>
          </cell>
          <cell r="O139">
            <v>0</v>
          </cell>
          <cell r="P139">
            <v>0</v>
          </cell>
          <cell r="R139">
            <v>1.0252300508275299E-3</v>
          </cell>
          <cell r="S139">
            <v>0</v>
          </cell>
          <cell r="T139">
            <v>0</v>
          </cell>
        </row>
        <row r="140">
          <cell r="A140" t="str">
            <v>HotelLargeROOM_3_MULT9_FLR_6</v>
          </cell>
          <cell r="B140" t="str">
            <v>STD2004</v>
          </cell>
          <cell r="C140" t="str">
            <v>Buffalo</v>
          </cell>
          <cell r="D140" t="str">
            <v>HotelLarge</v>
          </cell>
          <cell r="E140" t="str">
            <v>ROOM_3_MULT9_FLR_6</v>
          </cell>
          <cell r="F140">
            <v>24.53</v>
          </cell>
          <cell r="G140">
            <v>9</v>
          </cell>
          <cell r="H140" t="str">
            <v>Yes</v>
          </cell>
          <cell r="I140" t="str">
            <v>FLR_3_DOAS</v>
          </cell>
          <cell r="J140">
            <v>20.440000000000001</v>
          </cell>
          <cell r="K140">
            <v>6.74</v>
          </cell>
          <cell r="L140">
            <v>11.840299999999999</v>
          </cell>
          <cell r="M140">
            <v>16.350000000000001</v>
          </cell>
          <cell r="N140">
            <v>10.52</v>
          </cell>
          <cell r="O140">
            <v>0</v>
          </cell>
          <cell r="P140">
            <v>0</v>
          </cell>
          <cell r="R140">
            <v>1.0252300508275299E-3</v>
          </cell>
          <cell r="S140">
            <v>0</v>
          </cell>
          <cell r="T140">
            <v>0</v>
          </cell>
        </row>
        <row r="141">
          <cell r="A141" t="str">
            <v>HotelLargeBANQUET_FLR_6</v>
          </cell>
          <cell r="B141" t="str">
            <v>STD2004</v>
          </cell>
          <cell r="C141" t="str">
            <v>Buffalo</v>
          </cell>
          <cell r="D141" t="str">
            <v>HotelLarge</v>
          </cell>
          <cell r="E141" t="str">
            <v>BANQUET_FLR_6</v>
          </cell>
          <cell r="F141">
            <v>331.66</v>
          </cell>
          <cell r="G141">
            <v>1</v>
          </cell>
          <cell r="H141" t="str">
            <v>Yes</v>
          </cell>
          <cell r="I141" t="str">
            <v>VAV WITH REHEAT</v>
          </cell>
          <cell r="J141">
            <v>97.55</v>
          </cell>
          <cell r="K141">
            <v>32.19</v>
          </cell>
          <cell r="L141">
            <v>15.0695</v>
          </cell>
          <cell r="M141">
            <v>1.33</v>
          </cell>
          <cell r="N141">
            <v>67.819999999999993</v>
          </cell>
          <cell r="O141">
            <v>0</v>
          </cell>
          <cell r="P141">
            <v>0</v>
          </cell>
          <cell r="Q141">
            <v>0</v>
          </cell>
          <cell r="R141">
            <v>1.0252300508275299E-3</v>
          </cell>
          <cell r="S141">
            <v>0</v>
          </cell>
          <cell r="T141">
            <v>0</v>
          </cell>
        </row>
        <row r="142">
          <cell r="A142" t="str">
            <v>HotelLargeDINING_FLR_6</v>
          </cell>
          <cell r="B142" t="str">
            <v>STD2004</v>
          </cell>
          <cell r="C142" t="str">
            <v>Buffalo</v>
          </cell>
          <cell r="D142" t="str">
            <v>HotelLarge</v>
          </cell>
          <cell r="E142" t="str">
            <v>DINING_FLR_6</v>
          </cell>
          <cell r="F142">
            <v>331.66</v>
          </cell>
          <cell r="G142">
            <v>1</v>
          </cell>
          <cell r="H142" t="str">
            <v>Yes</v>
          </cell>
          <cell r="I142" t="str">
            <v>VAV WITH REHEAT</v>
          </cell>
          <cell r="J142">
            <v>97.55</v>
          </cell>
          <cell r="K142">
            <v>32.19</v>
          </cell>
          <cell r="L142">
            <v>15.0695</v>
          </cell>
          <cell r="M142">
            <v>1.33</v>
          </cell>
          <cell r="N142">
            <v>67.819999999999993</v>
          </cell>
          <cell r="O142">
            <v>0</v>
          </cell>
          <cell r="P142">
            <v>0</v>
          </cell>
          <cell r="Q142">
            <v>0</v>
          </cell>
          <cell r="R142">
            <v>1.0252300508275299E-3</v>
          </cell>
          <cell r="S142">
            <v>0</v>
          </cell>
          <cell r="T142">
            <v>0</v>
          </cell>
        </row>
        <row r="143">
          <cell r="A143" t="str">
            <v>HotelLargeKITCHEN_FLR_6</v>
          </cell>
          <cell r="B143" t="str">
            <v>STD2004</v>
          </cell>
          <cell r="C143" t="str">
            <v>Buffalo</v>
          </cell>
          <cell r="D143" t="str">
            <v>HotelLarge</v>
          </cell>
          <cell r="E143" t="str">
            <v>KITCHEN_FLR_6</v>
          </cell>
          <cell r="F143">
            <v>103.3</v>
          </cell>
          <cell r="G143">
            <v>1</v>
          </cell>
          <cell r="H143" t="str">
            <v>Yes</v>
          </cell>
          <cell r="I143" t="str">
            <v>VAV WITH REHEAT</v>
          </cell>
          <cell r="J143">
            <v>87.33</v>
          </cell>
          <cell r="K143">
            <v>26.37</v>
          </cell>
          <cell r="L143">
            <v>12.916700000000001</v>
          </cell>
          <cell r="M143">
            <v>4.6500000000000004</v>
          </cell>
          <cell r="N143">
            <v>2936.4162999999999</v>
          </cell>
          <cell r="O143">
            <v>249920.35269999999</v>
          </cell>
          <cell r="P143">
            <v>0</v>
          </cell>
          <cell r="Q143">
            <v>1.89</v>
          </cell>
          <cell r="R143">
            <v>1.0252300508275299E-3</v>
          </cell>
          <cell r="S143">
            <v>0</v>
          </cell>
          <cell r="T143">
            <v>0</v>
          </cell>
        </row>
        <row r="144">
          <cell r="A144" t="str">
            <v>HotelLargeCORRIDOR_FLR_6</v>
          </cell>
          <cell r="B144" t="str">
            <v>STD2004</v>
          </cell>
          <cell r="C144" t="str">
            <v>Buffalo</v>
          </cell>
          <cell r="D144" t="str">
            <v>HotelLarge</v>
          </cell>
          <cell r="E144" t="str">
            <v>CORRIDOR_FLR_6</v>
          </cell>
          <cell r="F144">
            <v>412.12</v>
          </cell>
          <cell r="G144">
            <v>1</v>
          </cell>
          <cell r="H144" t="str">
            <v>Yes</v>
          </cell>
          <cell r="I144" t="str">
            <v>VAV WITH REHEAT</v>
          </cell>
          <cell r="J144">
            <v>85.47</v>
          </cell>
          <cell r="K144">
            <v>28.2</v>
          </cell>
          <cell r="L144">
            <v>5.3818999999999999</v>
          </cell>
          <cell r="M144">
            <v>18.579999999999998</v>
          </cell>
          <cell r="N144">
            <v>0</v>
          </cell>
          <cell r="O144">
            <v>0</v>
          </cell>
          <cell r="P144">
            <v>0</v>
          </cell>
          <cell r="R144">
            <v>1.0252300508275299E-3</v>
          </cell>
          <cell r="S144">
            <v>0</v>
          </cell>
          <cell r="T144">
            <v>0</v>
          </cell>
        </row>
        <row r="145">
          <cell r="A145" t="str">
            <v>HotelLargeTotal</v>
          </cell>
          <cell r="B145" t="str">
            <v>STD2004</v>
          </cell>
          <cell r="C145" t="str">
            <v>Buffalo</v>
          </cell>
          <cell r="D145" t="str">
            <v>HotelLarge</v>
          </cell>
          <cell r="E145" t="str">
            <v>Total</v>
          </cell>
          <cell r="F145">
            <v>11345.29</v>
          </cell>
          <cell r="J145">
            <v>4025.82</v>
          </cell>
          <cell r="K145">
            <v>1213.79</v>
          </cell>
          <cell r="L145">
            <v>11.1381</v>
          </cell>
          <cell r="M145">
            <v>7.07</v>
          </cell>
          <cell r="N145">
            <v>41.088500000000003</v>
          </cell>
          <cell r="O145">
            <v>0</v>
          </cell>
          <cell r="R145">
            <v>0</v>
          </cell>
          <cell r="S145">
            <v>0</v>
          </cell>
          <cell r="T145">
            <v>0</v>
          </cell>
        </row>
        <row r="146">
          <cell r="A146" t="str">
            <v>HotelLargeConditioned Total</v>
          </cell>
          <cell r="B146" t="str">
            <v>STD2004</v>
          </cell>
          <cell r="C146" t="str">
            <v>Buffalo</v>
          </cell>
          <cell r="D146" t="str">
            <v>HotelLarge</v>
          </cell>
          <cell r="E146" t="str">
            <v>Conditioned Total</v>
          </cell>
          <cell r="F146">
            <v>11345.29</v>
          </cell>
          <cell r="J146">
            <v>4025.82</v>
          </cell>
          <cell r="K146">
            <v>1213.79</v>
          </cell>
          <cell r="L146">
            <v>11.1381</v>
          </cell>
          <cell r="M146">
            <v>7.07</v>
          </cell>
          <cell r="N146">
            <v>41.088500000000003</v>
          </cell>
          <cell r="O146">
            <v>0</v>
          </cell>
          <cell r="R146">
            <v>0</v>
          </cell>
          <cell r="S146">
            <v>0</v>
          </cell>
          <cell r="T146">
            <v>0</v>
          </cell>
        </row>
        <row r="147">
          <cell r="A147" t="str">
            <v>HotelLargeUnconditioned Total</v>
          </cell>
          <cell r="B147" t="str">
            <v>STD2004</v>
          </cell>
          <cell r="C147" t="str">
            <v>Buffalo</v>
          </cell>
          <cell r="D147" t="str">
            <v>HotelLarge</v>
          </cell>
          <cell r="E147" t="str">
            <v>Unconditioned Total</v>
          </cell>
          <cell r="F147">
            <v>0</v>
          </cell>
          <cell r="J147">
            <v>0</v>
          </cell>
          <cell r="K147">
            <v>0</v>
          </cell>
          <cell r="O147">
            <v>0</v>
          </cell>
          <cell r="R147">
            <v>0</v>
          </cell>
          <cell r="S147">
            <v>0</v>
          </cell>
          <cell r="T147">
            <v>0</v>
          </cell>
        </row>
        <row r="148">
          <cell r="A148" t="str">
            <v>HotelLargeNot Part of Total</v>
          </cell>
          <cell r="B148" t="str">
            <v>STD2004</v>
          </cell>
          <cell r="C148" t="str">
            <v>Buffalo</v>
          </cell>
          <cell r="D148" t="str">
            <v>HotelLarge</v>
          </cell>
          <cell r="E148" t="str">
            <v>Not Part of Total</v>
          </cell>
          <cell r="F148">
            <v>0</v>
          </cell>
          <cell r="J148">
            <v>0</v>
          </cell>
          <cell r="K148">
            <v>0</v>
          </cell>
          <cell r="O148">
            <v>0</v>
          </cell>
          <cell r="R148">
            <v>0</v>
          </cell>
          <cell r="S148">
            <v>0</v>
          </cell>
          <cell r="T148">
            <v>0</v>
          </cell>
        </row>
        <row r="149">
          <cell r="A149" t="str">
            <v>HotelSmallREARSTAIRSFLR1</v>
          </cell>
          <cell r="B149" t="str">
            <v>STD2004</v>
          </cell>
          <cell r="C149" t="str">
            <v>Buffalo</v>
          </cell>
          <cell r="D149" t="str">
            <v>HotelSmall</v>
          </cell>
          <cell r="E149" t="str">
            <v>REARSTAIRSFLR1</v>
          </cell>
          <cell r="F149">
            <v>20.07</v>
          </cell>
          <cell r="G149">
            <v>1</v>
          </cell>
          <cell r="H149" t="str">
            <v>Yes</v>
          </cell>
          <cell r="I149" t="str">
            <v>RearStairsFlr1 Unit Heater</v>
          </cell>
          <cell r="J149">
            <v>35.770000000000003</v>
          </cell>
          <cell r="K149">
            <v>0</v>
          </cell>
          <cell r="L149">
            <v>6.4583000000000004</v>
          </cell>
          <cell r="M149">
            <v>18.59</v>
          </cell>
          <cell r="N149">
            <v>0</v>
          </cell>
          <cell r="O149">
            <v>0</v>
          </cell>
          <cell r="R149">
            <v>1.0252300508275299E-3</v>
          </cell>
          <cell r="S149">
            <v>0</v>
          </cell>
          <cell r="T149">
            <v>0</v>
          </cell>
        </row>
        <row r="150">
          <cell r="A150" t="str">
            <v>HotelSmallCORRIDORFLR1</v>
          </cell>
          <cell r="B150" t="str">
            <v>STD2004</v>
          </cell>
          <cell r="C150" t="str">
            <v>Buffalo</v>
          </cell>
          <cell r="D150" t="str">
            <v>HotelSmall</v>
          </cell>
          <cell r="E150" t="str">
            <v>CORRIDORFLR1</v>
          </cell>
          <cell r="F150">
            <v>150.51</v>
          </cell>
          <cell r="G150">
            <v>1</v>
          </cell>
          <cell r="H150" t="str">
            <v>Yes</v>
          </cell>
          <cell r="I150" t="str">
            <v>CorridorFlr1 PTAC</v>
          </cell>
          <cell r="J150">
            <v>32.700000000000003</v>
          </cell>
          <cell r="K150">
            <v>9.82</v>
          </cell>
          <cell r="L150">
            <v>5.3818999999999999</v>
          </cell>
          <cell r="M150">
            <v>18.579999999999998</v>
          </cell>
          <cell r="N150">
            <v>0</v>
          </cell>
          <cell r="O150">
            <v>0</v>
          </cell>
          <cell r="R150">
            <v>1.0252300508275299E-3</v>
          </cell>
          <cell r="S150">
            <v>0</v>
          </cell>
          <cell r="T150">
            <v>0.91557717999999999</v>
          </cell>
        </row>
        <row r="151">
          <cell r="A151" t="str">
            <v>HotelSmallREARSTORAGEFLR1</v>
          </cell>
          <cell r="B151" t="str">
            <v>STD2004</v>
          </cell>
          <cell r="C151" t="str">
            <v>Buffalo</v>
          </cell>
          <cell r="D151" t="str">
            <v>HotelSmall</v>
          </cell>
          <cell r="E151" t="str">
            <v>REARSTORAGEFLR1</v>
          </cell>
          <cell r="F151">
            <v>20.07</v>
          </cell>
          <cell r="G151">
            <v>1</v>
          </cell>
          <cell r="H151" t="str">
            <v>No</v>
          </cell>
          <cell r="J151">
            <v>35.770000000000003</v>
          </cell>
          <cell r="K151">
            <v>0</v>
          </cell>
          <cell r="L151">
            <v>8.6111000000000004</v>
          </cell>
          <cell r="M151">
            <v>46.47</v>
          </cell>
          <cell r="N151">
            <v>0</v>
          </cell>
          <cell r="O151">
            <v>0</v>
          </cell>
          <cell r="R151">
            <v>1.0252300508275299E-3</v>
          </cell>
          <cell r="S151">
            <v>0</v>
          </cell>
          <cell r="T151">
            <v>0</v>
          </cell>
        </row>
        <row r="152">
          <cell r="A152" t="str">
            <v>HotelSmallFRONTLOUNGEFLR1</v>
          </cell>
          <cell r="B152" t="str">
            <v>STD2004</v>
          </cell>
          <cell r="C152" t="str">
            <v>Buffalo</v>
          </cell>
          <cell r="D152" t="str">
            <v>HotelSmall</v>
          </cell>
          <cell r="E152" t="str">
            <v>FRONTLOUNGEFLR1</v>
          </cell>
          <cell r="F152">
            <v>163.06</v>
          </cell>
          <cell r="G152">
            <v>1</v>
          </cell>
          <cell r="H152" t="str">
            <v>Yes</v>
          </cell>
          <cell r="I152" t="str">
            <v>SAC_FRONTLOUNGE</v>
          </cell>
          <cell r="J152">
            <v>94.02</v>
          </cell>
          <cell r="K152">
            <v>14.83</v>
          </cell>
          <cell r="L152">
            <v>13.9931</v>
          </cell>
          <cell r="M152">
            <v>3.08</v>
          </cell>
          <cell r="N152">
            <v>26.06</v>
          </cell>
          <cell r="O152">
            <v>0</v>
          </cell>
          <cell r="P152">
            <v>0.37269999999999998</v>
          </cell>
          <cell r="R152">
            <v>1.0252300508275299E-3</v>
          </cell>
          <cell r="S152">
            <v>0</v>
          </cell>
          <cell r="T152">
            <v>0</v>
          </cell>
        </row>
        <row r="153">
          <cell r="A153" t="str">
            <v>HotelSmallRESTROOMFLR1</v>
          </cell>
          <cell r="B153" t="str">
            <v>STD2004</v>
          </cell>
          <cell r="C153" t="str">
            <v>Buffalo</v>
          </cell>
          <cell r="D153" t="str">
            <v>HotelSmall</v>
          </cell>
          <cell r="E153" t="str">
            <v>RESTROOMFLR1</v>
          </cell>
          <cell r="F153">
            <v>32.61</v>
          </cell>
          <cell r="G153">
            <v>1</v>
          </cell>
          <cell r="H153" t="str">
            <v>Yes</v>
          </cell>
          <cell r="I153" t="str">
            <v>SAC_RESTROOM</v>
          </cell>
          <cell r="J153">
            <v>13.29</v>
          </cell>
          <cell r="K153">
            <v>0</v>
          </cell>
          <cell r="L153">
            <v>9.6875</v>
          </cell>
          <cell r="M153">
            <v>18.579999999999998</v>
          </cell>
          <cell r="N153">
            <v>0</v>
          </cell>
          <cell r="O153">
            <v>0</v>
          </cell>
          <cell r="P153">
            <v>0</v>
          </cell>
          <cell r="R153">
            <v>1.0252300508275299E-3</v>
          </cell>
          <cell r="S153">
            <v>0</v>
          </cell>
          <cell r="T153">
            <v>0</v>
          </cell>
        </row>
        <row r="154">
          <cell r="A154" t="str">
            <v>HotelSmallMEETINGROOMFLR1</v>
          </cell>
          <cell r="B154" t="str">
            <v>STD2004</v>
          </cell>
          <cell r="C154" t="str">
            <v>Buffalo</v>
          </cell>
          <cell r="D154" t="str">
            <v>HotelSmall</v>
          </cell>
          <cell r="E154" t="str">
            <v>MEETINGROOMFLR1</v>
          </cell>
          <cell r="F154">
            <v>80.27</v>
          </cell>
          <cell r="G154">
            <v>1</v>
          </cell>
          <cell r="H154" t="str">
            <v>Yes</v>
          </cell>
          <cell r="I154" t="str">
            <v>SAC_MEETINGROOM</v>
          </cell>
          <cell r="J154">
            <v>32.700000000000003</v>
          </cell>
          <cell r="K154">
            <v>4.93</v>
          </cell>
          <cell r="L154">
            <v>13.9931</v>
          </cell>
          <cell r="M154">
            <v>1.87</v>
          </cell>
          <cell r="N154">
            <v>6.18</v>
          </cell>
          <cell r="O154">
            <v>0</v>
          </cell>
          <cell r="P154">
            <v>0.4078</v>
          </cell>
          <cell r="R154">
            <v>1.0252300508275299E-3</v>
          </cell>
          <cell r="S154">
            <v>0</v>
          </cell>
          <cell r="T154">
            <v>0</v>
          </cell>
        </row>
        <row r="155">
          <cell r="A155" t="str">
            <v>HotelSmallMECHANICALROOMFLR1</v>
          </cell>
          <cell r="B155" t="str">
            <v>STD2004</v>
          </cell>
          <cell r="C155" t="str">
            <v>Buffalo</v>
          </cell>
          <cell r="D155" t="str">
            <v>HotelSmall</v>
          </cell>
          <cell r="E155" t="str">
            <v>MECHANICALROOMFLR1</v>
          </cell>
          <cell r="F155">
            <v>32.61</v>
          </cell>
          <cell r="G155">
            <v>1</v>
          </cell>
          <cell r="H155" t="str">
            <v>Yes</v>
          </cell>
          <cell r="I155" t="str">
            <v>MechanicalRoomFlr1 Unit Heater</v>
          </cell>
          <cell r="J155">
            <v>13.29</v>
          </cell>
          <cell r="K155">
            <v>0</v>
          </cell>
          <cell r="L155">
            <v>16.145800000000001</v>
          </cell>
          <cell r="M155">
            <v>61.88</v>
          </cell>
          <cell r="N155">
            <v>0</v>
          </cell>
          <cell r="O155">
            <v>0</v>
          </cell>
          <cell r="R155">
            <v>1.0252300508275299E-3</v>
          </cell>
          <cell r="S155">
            <v>0</v>
          </cell>
          <cell r="T155">
            <v>0</v>
          </cell>
        </row>
        <row r="156">
          <cell r="A156" t="str">
            <v>HotelSmallGUESTROOM101</v>
          </cell>
          <cell r="B156" t="str">
            <v>STD2004</v>
          </cell>
          <cell r="C156" t="str">
            <v>Buffalo</v>
          </cell>
          <cell r="D156" t="str">
            <v>HotelSmall</v>
          </cell>
          <cell r="E156" t="str">
            <v>GUESTROOM101</v>
          </cell>
          <cell r="F156">
            <v>32.61</v>
          </cell>
          <cell r="G156">
            <v>1</v>
          </cell>
          <cell r="H156" t="str">
            <v>Yes</v>
          </cell>
          <cell r="I156" t="str">
            <v>101 PTAC</v>
          </cell>
          <cell r="J156">
            <v>13.29</v>
          </cell>
          <cell r="K156">
            <v>1.64</v>
          </cell>
          <cell r="L156">
            <v>11.840299999999999</v>
          </cell>
          <cell r="M156">
            <v>21.74</v>
          </cell>
          <cell r="N156">
            <v>11.8935</v>
          </cell>
          <cell r="O156">
            <v>0</v>
          </cell>
          <cell r="R156">
            <v>1.0252300508275299E-3</v>
          </cell>
          <cell r="S156">
            <v>0</v>
          </cell>
          <cell r="T156">
            <v>0</v>
          </cell>
        </row>
        <row r="157">
          <cell r="A157" t="str">
            <v>HotelSmallGUESTROOM102</v>
          </cell>
          <cell r="B157" t="str">
            <v>STD2004</v>
          </cell>
          <cell r="C157" t="str">
            <v>Buffalo</v>
          </cell>
          <cell r="D157" t="str">
            <v>HotelSmall</v>
          </cell>
          <cell r="E157" t="str">
            <v>GUESTROOM102</v>
          </cell>
          <cell r="F157">
            <v>32.61</v>
          </cell>
          <cell r="G157">
            <v>1</v>
          </cell>
          <cell r="H157" t="str">
            <v>Yes</v>
          </cell>
          <cell r="I157" t="str">
            <v>102 PTAC</v>
          </cell>
          <cell r="J157">
            <v>13.29</v>
          </cell>
          <cell r="K157">
            <v>1.64</v>
          </cell>
          <cell r="L157">
            <v>11.840299999999999</v>
          </cell>
          <cell r="M157">
            <v>21.74</v>
          </cell>
          <cell r="N157">
            <v>11.8935</v>
          </cell>
          <cell r="O157">
            <v>0</v>
          </cell>
          <cell r="R157">
            <v>1.0252300508275299E-3</v>
          </cell>
          <cell r="S157">
            <v>0</v>
          </cell>
          <cell r="T157">
            <v>0</v>
          </cell>
        </row>
        <row r="158">
          <cell r="A158" t="str">
            <v>HotelSmallGUESTROOM103</v>
          </cell>
          <cell r="B158" t="str">
            <v>STD2004</v>
          </cell>
          <cell r="C158" t="str">
            <v>Buffalo</v>
          </cell>
          <cell r="D158" t="str">
            <v>HotelSmall</v>
          </cell>
          <cell r="E158" t="str">
            <v>GUESTROOM103</v>
          </cell>
          <cell r="F158">
            <v>32.61</v>
          </cell>
          <cell r="G158">
            <v>1</v>
          </cell>
          <cell r="H158" t="str">
            <v>Yes</v>
          </cell>
          <cell r="I158" t="str">
            <v>103 PTAC</v>
          </cell>
          <cell r="J158">
            <v>13.29</v>
          </cell>
          <cell r="K158">
            <v>1.64</v>
          </cell>
          <cell r="L158">
            <v>11.840299999999999</v>
          </cell>
          <cell r="M158">
            <v>21.74</v>
          </cell>
          <cell r="N158">
            <v>11.8935</v>
          </cell>
          <cell r="O158">
            <v>0</v>
          </cell>
          <cell r="R158">
            <v>1.0252300508275299E-3</v>
          </cell>
          <cell r="S158">
            <v>0</v>
          </cell>
          <cell r="T158">
            <v>0</v>
          </cell>
        </row>
        <row r="159">
          <cell r="A159" t="str">
            <v>HotelSmallGUESTROOM104</v>
          </cell>
          <cell r="B159" t="str">
            <v>STD2004</v>
          </cell>
          <cell r="C159" t="str">
            <v>Buffalo</v>
          </cell>
          <cell r="D159" t="str">
            <v>HotelSmall</v>
          </cell>
          <cell r="E159" t="str">
            <v>GUESTROOM104</v>
          </cell>
          <cell r="F159">
            <v>32.61</v>
          </cell>
          <cell r="G159">
            <v>1</v>
          </cell>
          <cell r="H159" t="str">
            <v>Yes</v>
          </cell>
          <cell r="I159" t="str">
            <v>104 PTAC</v>
          </cell>
          <cell r="J159">
            <v>13.29</v>
          </cell>
          <cell r="K159">
            <v>1.64</v>
          </cell>
          <cell r="L159">
            <v>11.840299999999999</v>
          </cell>
          <cell r="M159">
            <v>21.74</v>
          </cell>
          <cell r="N159">
            <v>11.8935</v>
          </cell>
          <cell r="O159">
            <v>0</v>
          </cell>
          <cell r="R159">
            <v>1.0252300508275299E-3</v>
          </cell>
          <cell r="S159">
            <v>0</v>
          </cell>
          <cell r="T159">
            <v>0</v>
          </cell>
        </row>
        <row r="160">
          <cell r="A160" t="str">
            <v>HotelSmallGUESTROOM105</v>
          </cell>
          <cell r="B160" t="str">
            <v>STD2004</v>
          </cell>
          <cell r="C160" t="str">
            <v>Buffalo</v>
          </cell>
          <cell r="D160" t="str">
            <v>HotelSmall</v>
          </cell>
          <cell r="E160" t="str">
            <v>GUESTROOM105</v>
          </cell>
          <cell r="F160">
            <v>32.61</v>
          </cell>
          <cell r="G160">
            <v>1</v>
          </cell>
          <cell r="H160" t="str">
            <v>Yes</v>
          </cell>
          <cell r="I160" t="str">
            <v>105 PTAC</v>
          </cell>
          <cell r="J160">
            <v>13.29</v>
          </cell>
          <cell r="K160">
            <v>1.64</v>
          </cell>
          <cell r="L160">
            <v>11.840299999999999</v>
          </cell>
          <cell r="M160">
            <v>21.74</v>
          </cell>
          <cell r="N160">
            <v>11.8935</v>
          </cell>
          <cell r="O160">
            <v>0</v>
          </cell>
          <cell r="R160">
            <v>1.0252300508275299E-3</v>
          </cell>
          <cell r="S160">
            <v>0</v>
          </cell>
          <cell r="T160">
            <v>0</v>
          </cell>
        </row>
        <row r="161">
          <cell r="A161" t="str">
            <v>HotelSmallEMPLOYEELOUNGEFLR1</v>
          </cell>
          <cell r="B161" t="str">
            <v>STD2004</v>
          </cell>
          <cell r="C161" t="str">
            <v>Buffalo</v>
          </cell>
          <cell r="D161" t="str">
            <v>HotelSmall</v>
          </cell>
          <cell r="E161" t="str">
            <v>EMPLOYEELOUNGEFLR1</v>
          </cell>
          <cell r="F161">
            <v>32.61</v>
          </cell>
          <cell r="G161">
            <v>1</v>
          </cell>
          <cell r="H161" t="str">
            <v>Yes</v>
          </cell>
          <cell r="I161" t="str">
            <v>SAC_EMPLOYEELOUNGE</v>
          </cell>
          <cell r="J161">
            <v>13.29</v>
          </cell>
          <cell r="K161">
            <v>1.64</v>
          </cell>
          <cell r="L161">
            <v>12.916700000000001</v>
          </cell>
          <cell r="M161">
            <v>1.81</v>
          </cell>
          <cell r="N161">
            <v>21.51</v>
          </cell>
          <cell r="O161">
            <v>0</v>
          </cell>
          <cell r="P161">
            <v>0.16569999999999999</v>
          </cell>
          <cell r="R161">
            <v>1.0252300508275299E-3</v>
          </cell>
          <cell r="S161">
            <v>0</v>
          </cell>
          <cell r="T161">
            <v>0</v>
          </cell>
        </row>
        <row r="162">
          <cell r="A162" t="str">
            <v>HotelSmallLAUNDRYROOMFLR1</v>
          </cell>
          <cell r="B162" t="str">
            <v>STD2004</v>
          </cell>
          <cell r="C162" t="str">
            <v>Buffalo</v>
          </cell>
          <cell r="D162" t="str">
            <v>HotelSmall</v>
          </cell>
          <cell r="E162" t="str">
            <v>LAUNDRYROOMFLR1</v>
          </cell>
          <cell r="F162">
            <v>97.83</v>
          </cell>
          <cell r="G162">
            <v>1</v>
          </cell>
          <cell r="H162" t="str">
            <v>No</v>
          </cell>
          <cell r="J162">
            <v>39.86</v>
          </cell>
          <cell r="K162">
            <v>4.93</v>
          </cell>
          <cell r="L162">
            <v>6.4583000000000004</v>
          </cell>
          <cell r="M162">
            <v>9.2899999999999991</v>
          </cell>
          <cell r="N162">
            <v>437.55959999999999</v>
          </cell>
          <cell r="O162">
            <v>40096.028050000001</v>
          </cell>
          <cell r="R162">
            <v>1.0252300508275299E-3</v>
          </cell>
          <cell r="S162">
            <v>0</v>
          </cell>
          <cell r="T162">
            <v>0</v>
          </cell>
        </row>
        <row r="163">
          <cell r="A163" t="str">
            <v>HotelSmallELEVATORCOREFLR1</v>
          </cell>
          <cell r="B163" t="str">
            <v>STD2004</v>
          </cell>
          <cell r="C163" t="str">
            <v>Buffalo</v>
          </cell>
          <cell r="D163" t="str">
            <v>HotelSmall</v>
          </cell>
          <cell r="E163" t="str">
            <v>ELEVATORCOREFLR1</v>
          </cell>
          <cell r="F163">
            <v>15.05</v>
          </cell>
          <cell r="G163">
            <v>1</v>
          </cell>
          <cell r="H163" t="str">
            <v>No</v>
          </cell>
          <cell r="J163">
            <v>6.13</v>
          </cell>
          <cell r="K163">
            <v>0</v>
          </cell>
          <cell r="L163">
            <v>0</v>
          </cell>
          <cell r="M163">
            <v>61.94</v>
          </cell>
          <cell r="N163">
            <v>1086.2447</v>
          </cell>
          <cell r="O163">
            <v>0</v>
          </cell>
          <cell r="R163">
            <v>1.0252300508275299E-3</v>
          </cell>
          <cell r="S163">
            <v>0</v>
          </cell>
          <cell r="T163">
            <v>0</v>
          </cell>
        </row>
        <row r="164">
          <cell r="A164" t="str">
            <v>HotelSmallEXERCISECENTERFLR1</v>
          </cell>
          <cell r="B164" t="str">
            <v>STD2004</v>
          </cell>
          <cell r="C164" t="str">
            <v>Buffalo</v>
          </cell>
          <cell r="D164" t="str">
            <v>HotelSmall</v>
          </cell>
          <cell r="E164" t="str">
            <v>EXERCISECENTERFLR1</v>
          </cell>
          <cell r="F164">
            <v>32.61</v>
          </cell>
          <cell r="G164">
            <v>1</v>
          </cell>
          <cell r="H164" t="str">
            <v>Yes</v>
          </cell>
          <cell r="I164" t="str">
            <v>SAC_EXERCISECENTER</v>
          </cell>
          <cell r="J164">
            <v>13.29</v>
          </cell>
          <cell r="K164">
            <v>1.64</v>
          </cell>
          <cell r="L164">
            <v>9.6875</v>
          </cell>
          <cell r="M164">
            <v>4.66</v>
          </cell>
          <cell r="N164">
            <v>18.59</v>
          </cell>
          <cell r="O164">
            <v>0</v>
          </cell>
          <cell r="P164">
            <v>2.4799999999999999E-2</v>
          </cell>
          <cell r="R164">
            <v>1.0252300508275299E-3</v>
          </cell>
          <cell r="S164">
            <v>0</v>
          </cell>
          <cell r="T164">
            <v>0</v>
          </cell>
        </row>
        <row r="165">
          <cell r="A165" t="str">
            <v>HotelSmallFRONTOFFICEFLR1</v>
          </cell>
          <cell r="B165" t="str">
            <v>STD2004</v>
          </cell>
          <cell r="C165" t="str">
            <v>Buffalo</v>
          </cell>
          <cell r="D165" t="str">
            <v>HotelSmall</v>
          </cell>
          <cell r="E165" t="str">
            <v>FRONTOFFICEFLR1</v>
          </cell>
          <cell r="F165">
            <v>130.44</v>
          </cell>
          <cell r="G165">
            <v>1</v>
          </cell>
          <cell r="H165" t="str">
            <v>Yes</v>
          </cell>
          <cell r="I165" t="str">
            <v>SAC_FRONTOFFICE</v>
          </cell>
          <cell r="J165">
            <v>53.14</v>
          </cell>
          <cell r="K165">
            <v>6.57</v>
          </cell>
          <cell r="L165">
            <v>11.840299999999999</v>
          </cell>
          <cell r="M165">
            <v>13.04</v>
          </cell>
          <cell r="N165">
            <v>13.78</v>
          </cell>
          <cell r="O165">
            <v>0</v>
          </cell>
          <cell r="P165">
            <v>6.6299999999999998E-2</v>
          </cell>
          <cell r="R165">
            <v>1.0252300508275299E-3</v>
          </cell>
          <cell r="S165">
            <v>0</v>
          </cell>
          <cell r="T165">
            <v>0</v>
          </cell>
        </row>
        <row r="166">
          <cell r="A166" t="str">
            <v>HotelSmallFRONTSTAIRSFLR1</v>
          </cell>
          <cell r="B166" t="str">
            <v>STD2004</v>
          </cell>
          <cell r="C166" t="str">
            <v>Buffalo</v>
          </cell>
          <cell r="D166" t="str">
            <v>HotelSmall</v>
          </cell>
          <cell r="E166" t="str">
            <v>FRONTSTAIRSFLR1</v>
          </cell>
          <cell r="F166">
            <v>20.07</v>
          </cell>
          <cell r="G166">
            <v>1</v>
          </cell>
          <cell r="H166" t="str">
            <v>Yes</v>
          </cell>
          <cell r="I166" t="str">
            <v>FrontStairsFlr1 Unit Heater</v>
          </cell>
          <cell r="J166">
            <v>35.770000000000003</v>
          </cell>
          <cell r="K166">
            <v>0</v>
          </cell>
          <cell r="L166">
            <v>6.4583000000000004</v>
          </cell>
          <cell r="M166">
            <v>18.579999999999998</v>
          </cell>
          <cell r="N166">
            <v>0</v>
          </cell>
          <cell r="O166">
            <v>0</v>
          </cell>
          <cell r="R166">
            <v>1.0252300508275299E-3</v>
          </cell>
          <cell r="S166">
            <v>0</v>
          </cell>
          <cell r="T166">
            <v>0</v>
          </cell>
        </row>
        <row r="167">
          <cell r="A167" t="str">
            <v>HotelSmallFRONTSTORAGEFLR1</v>
          </cell>
          <cell r="B167" t="str">
            <v>STD2004</v>
          </cell>
          <cell r="C167" t="str">
            <v>Buffalo</v>
          </cell>
          <cell r="D167" t="str">
            <v>HotelSmall</v>
          </cell>
          <cell r="E167" t="str">
            <v>FRONTSTORAGEFLR1</v>
          </cell>
          <cell r="F167">
            <v>12.54</v>
          </cell>
          <cell r="G167">
            <v>1</v>
          </cell>
          <cell r="H167" t="str">
            <v>No</v>
          </cell>
          <cell r="J167">
            <v>5.1100000000000003</v>
          </cell>
          <cell r="K167">
            <v>0</v>
          </cell>
          <cell r="L167">
            <v>8.6111000000000004</v>
          </cell>
          <cell r="M167">
            <v>46.45</v>
          </cell>
          <cell r="N167">
            <v>0</v>
          </cell>
          <cell r="O167">
            <v>0</v>
          </cell>
          <cell r="R167">
            <v>1.0252300508275299E-3</v>
          </cell>
          <cell r="S167">
            <v>0</v>
          </cell>
          <cell r="T167">
            <v>0</v>
          </cell>
        </row>
        <row r="168">
          <cell r="A168" t="str">
            <v>HotelSmallREARSTAIRSFLR2</v>
          </cell>
          <cell r="B168" t="str">
            <v>STD2004</v>
          </cell>
          <cell r="C168" t="str">
            <v>Buffalo</v>
          </cell>
          <cell r="D168" t="str">
            <v>HotelSmall</v>
          </cell>
          <cell r="E168" t="str">
            <v>REARSTAIRSFLR2</v>
          </cell>
          <cell r="F168">
            <v>20.07</v>
          </cell>
          <cell r="G168">
            <v>1</v>
          </cell>
          <cell r="H168" t="str">
            <v>Yes</v>
          </cell>
          <cell r="I168" t="str">
            <v>RearStairsFlr2 Unit Heater</v>
          </cell>
          <cell r="J168">
            <v>29.27</v>
          </cell>
          <cell r="K168">
            <v>0</v>
          </cell>
          <cell r="L168">
            <v>6.4583000000000004</v>
          </cell>
          <cell r="M168">
            <v>18.59</v>
          </cell>
          <cell r="N168">
            <v>0</v>
          </cell>
          <cell r="O168">
            <v>0</v>
          </cell>
          <cell r="R168">
            <v>1.0252300508275299E-3</v>
          </cell>
          <cell r="S168">
            <v>0</v>
          </cell>
          <cell r="T168">
            <v>0</v>
          </cell>
        </row>
        <row r="169">
          <cell r="A169" t="str">
            <v>HotelSmallCORRIDORFLR2</v>
          </cell>
          <cell r="B169" t="str">
            <v>STD2004</v>
          </cell>
          <cell r="C169" t="str">
            <v>Buffalo</v>
          </cell>
          <cell r="D169" t="str">
            <v>HotelSmall</v>
          </cell>
          <cell r="E169" t="str">
            <v>CORRIDORFLR2</v>
          </cell>
          <cell r="F169">
            <v>125.42</v>
          </cell>
          <cell r="G169">
            <v>1</v>
          </cell>
          <cell r="H169" t="str">
            <v>Yes</v>
          </cell>
          <cell r="I169" t="str">
            <v>CorridorFlr2 PTAC</v>
          </cell>
          <cell r="J169">
            <v>18.39</v>
          </cell>
          <cell r="K169">
            <v>2.62</v>
          </cell>
          <cell r="L169">
            <v>5.3818999999999999</v>
          </cell>
          <cell r="M169">
            <v>18.579999999999998</v>
          </cell>
          <cell r="N169">
            <v>0</v>
          </cell>
          <cell r="O169">
            <v>0</v>
          </cell>
          <cell r="R169">
            <v>1.0252300508275299E-3</v>
          </cell>
          <cell r="S169">
            <v>0</v>
          </cell>
          <cell r="T169">
            <v>0</v>
          </cell>
        </row>
        <row r="170">
          <cell r="A170" t="str">
            <v>HotelSmallREARSTORAGEFLR2</v>
          </cell>
          <cell r="B170" t="str">
            <v>STD2004</v>
          </cell>
          <cell r="C170" t="str">
            <v>Buffalo</v>
          </cell>
          <cell r="D170" t="str">
            <v>HotelSmall</v>
          </cell>
          <cell r="E170" t="str">
            <v>REARSTORAGEFLR2</v>
          </cell>
          <cell r="F170">
            <v>20.07</v>
          </cell>
          <cell r="G170">
            <v>1</v>
          </cell>
          <cell r="H170" t="str">
            <v>No</v>
          </cell>
          <cell r="J170">
            <v>29.27</v>
          </cell>
          <cell r="K170">
            <v>0</v>
          </cell>
          <cell r="L170">
            <v>8.6111000000000004</v>
          </cell>
          <cell r="M170">
            <v>46.47</v>
          </cell>
          <cell r="N170">
            <v>0</v>
          </cell>
          <cell r="O170">
            <v>0</v>
          </cell>
          <cell r="R170">
            <v>1.0252300508275299E-3</v>
          </cell>
          <cell r="S170">
            <v>0</v>
          </cell>
          <cell r="T170">
            <v>0</v>
          </cell>
        </row>
        <row r="171">
          <cell r="A171" t="str">
            <v>HotelSmallGUESTROOM201</v>
          </cell>
          <cell r="B171" t="str">
            <v>STD2004</v>
          </cell>
          <cell r="C171" t="str">
            <v>Buffalo</v>
          </cell>
          <cell r="D171" t="str">
            <v>HotelSmall</v>
          </cell>
          <cell r="E171" t="str">
            <v>GUESTROOM201</v>
          </cell>
          <cell r="F171">
            <v>32.61</v>
          </cell>
          <cell r="G171">
            <v>1</v>
          </cell>
          <cell r="H171" t="str">
            <v>Yes</v>
          </cell>
          <cell r="I171" t="str">
            <v>201 PTAC</v>
          </cell>
          <cell r="J171">
            <v>33.450000000000003</v>
          </cell>
          <cell r="K171">
            <v>1.65</v>
          </cell>
          <cell r="L171">
            <v>11.840299999999999</v>
          </cell>
          <cell r="M171">
            <v>21.74</v>
          </cell>
          <cell r="N171">
            <v>11.8935</v>
          </cell>
          <cell r="O171">
            <v>0</v>
          </cell>
          <cell r="R171">
            <v>1.0252300508275299E-3</v>
          </cell>
          <cell r="S171">
            <v>0</v>
          </cell>
          <cell r="T171">
            <v>0</v>
          </cell>
        </row>
        <row r="172">
          <cell r="A172" t="str">
            <v>HotelSmallGUESTROOM202_205</v>
          </cell>
          <cell r="B172" t="str">
            <v>STD2004</v>
          </cell>
          <cell r="C172" t="str">
            <v>Buffalo</v>
          </cell>
          <cell r="D172" t="str">
            <v>HotelSmall</v>
          </cell>
          <cell r="E172" t="str">
            <v>GUESTROOM202_205</v>
          </cell>
          <cell r="F172">
            <v>130.44999999999999</v>
          </cell>
          <cell r="G172">
            <v>1</v>
          </cell>
          <cell r="H172" t="str">
            <v>Yes</v>
          </cell>
          <cell r="I172" t="str">
            <v>202_205 PTAC</v>
          </cell>
          <cell r="J172">
            <v>43.48</v>
          </cell>
          <cell r="K172">
            <v>6.6</v>
          </cell>
          <cell r="L172">
            <v>11.840299999999999</v>
          </cell>
          <cell r="M172">
            <v>21.74</v>
          </cell>
          <cell r="N172">
            <v>11.8935</v>
          </cell>
          <cell r="O172">
            <v>0</v>
          </cell>
          <cell r="R172">
            <v>1.0252300508275299E-3</v>
          </cell>
          <cell r="S172">
            <v>0</v>
          </cell>
          <cell r="T172">
            <v>0</v>
          </cell>
        </row>
        <row r="173">
          <cell r="A173" t="str">
            <v>HotelSmallGUESTROOM206_208</v>
          </cell>
          <cell r="B173" t="str">
            <v>STD2004</v>
          </cell>
          <cell r="C173" t="str">
            <v>Buffalo</v>
          </cell>
          <cell r="D173" t="str">
            <v>HotelSmall</v>
          </cell>
          <cell r="E173" t="str">
            <v>GUESTROOM206_208</v>
          </cell>
          <cell r="F173">
            <v>105.36</v>
          </cell>
          <cell r="G173">
            <v>1</v>
          </cell>
          <cell r="H173" t="str">
            <v>Yes</v>
          </cell>
          <cell r="I173" t="str">
            <v>206_208 PTAC</v>
          </cell>
          <cell r="J173">
            <v>35.119999999999997</v>
          </cell>
          <cell r="K173">
            <v>6.71</v>
          </cell>
          <cell r="L173">
            <v>11.840299999999999</v>
          </cell>
          <cell r="M173">
            <v>23.41</v>
          </cell>
          <cell r="N173">
            <v>11.8935</v>
          </cell>
          <cell r="O173">
            <v>0</v>
          </cell>
          <cell r="R173">
            <v>1.0252300508275299E-3</v>
          </cell>
          <cell r="S173">
            <v>0</v>
          </cell>
          <cell r="T173">
            <v>0</v>
          </cell>
        </row>
        <row r="174">
          <cell r="A174" t="str">
            <v>HotelSmallGUESTROOM209_212</v>
          </cell>
          <cell r="B174" t="str">
            <v>STD2004</v>
          </cell>
          <cell r="C174" t="str">
            <v>Buffalo</v>
          </cell>
          <cell r="D174" t="str">
            <v>HotelSmall</v>
          </cell>
          <cell r="E174" t="str">
            <v>GUESTROOM209_212</v>
          </cell>
          <cell r="F174">
            <v>130.44999999999999</v>
          </cell>
          <cell r="G174">
            <v>1</v>
          </cell>
          <cell r="H174" t="str">
            <v>Yes</v>
          </cell>
          <cell r="I174" t="str">
            <v>209_212 PTAC</v>
          </cell>
          <cell r="J174">
            <v>43.48</v>
          </cell>
          <cell r="K174">
            <v>6.6</v>
          </cell>
          <cell r="L174">
            <v>11.840299999999999</v>
          </cell>
          <cell r="M174">
            <v>21.74</v>
          </cell>
          <cell r="N174">
            <v>11.8935</v>
          </cell>
          <cell r="O174">
            <v>0</v>
          </cell>
          <cell r="R174">
            <v>1.0252300508275299E-3</v>
          </cell>
          <cell r="S174">
            <v>0</v>
          </cell>
          <cell r="T174">
            <v>0</v>
          </cell>
        </row>
        <row r="175">
          <cell r="A175" t="str">
            <v>HotelSmallGUESTROOM213</v>
          </cell>
          <cell r="B175" t="str">
            <v>STD2004</v>
          </cell>
          <cell r="C175" t="str">
            <v>Buffalo</v>
          </cell>
          <cell r="D175" t="str">
            <v>HotelSmall</v>
          </cell>
          <cell r="E175" t="str">
            <v>GUESTROOM213</v>
          </cell>
          <cell r="F175">
            <v>32.61</v>
          </cell>
          <cell r="G175">
            <v>1</v>
          </cell>
          <cell r="H175" t="str">
            <v>Yes</v>
          </cell>
          <cell r="I175" t="str">
            <v>213 PTAC</v>
          </cell>
          <cell r="J175">
            <v>10.87</v>
          </cell>
          <cell r="K175">
            <v>1.65</v>
          </cell>
          <cell r="L175">
            <v>11.840299999999999</v>
          </cell>
          <cell r="M175">
            <v>21.74</v>
          </cell>
          <cell r="N175">
            <v>11.8935</v>
          </cell>
          <cell r="O175">
            <v>0</v>
          </cell>
          <cell r="R175">
            <v>1.0252300508275299E-3</v>
          </cell>
          <cell r="S175">
            <v>0</v>
          </cell>
          <cell r="T175">
            <v>0</v>
          </cell>
        </row>
        <row r="176">
          <cell r="A176" t="str">
            <v>HotelSmallGUESTROOM214</v>
          </cell>
          <cell r="B176" t="str">
            <v>STD2004</v>
          </cell>
          <cell r="C176" t="str">
            <v>Buffalo</v>
          </cell>
          <cell r="D176" t="str">
            <v>HotelSmall</v>
          </cell>
          <cell r="E176" t="str">
            <v>GUESTROOM214</v>
          </cell>
          <cell r="F176">
            <v>32.61</v>
          </cell>
          <cell r="G176">
            <v>1</v>
          </cell>
          <cell r="H176" t="str">
            <v>Yes</v>
          </cell>
          <cell r="I176" t="str">
            <v>214 PTAC</v>
          </cell>
          <cell r="J176">
            <v>10.87</v>
          </cell>
          <cell r="K176">
            <v>1.65</v>
          </cell>
          <cell r="L176">
            <v>11.840299999999999</v>
          </cell>
          <cell r="M176">
            <v>21.74</v>
          </cell>
          <cell r="N176">
            <v>11.8935</v>
          </cell>
          <cell r="O176">
            <v>0</v>
          </cell>
          <cell r="R176">
            <v>1.0252300508275299E-3</v>
          </cell>
          <cell r="S176">
            <v>0</v>
          </cell>
          <cell r="T176">
            <v>0</v>
          </cell>
        </row>
        <row r="177">
          <cell r="A177" t="str">
            <v>HotelSmallGUESTROOM215_218</v>
          </cell>
          <cell r="B177" t="str">
            <v>STD2004</v>
          </cell>
          <cell r="C177" t="str">
            <v>Buffalo</v>
          </cell>
          <cell r="D177" t="str">
            <v>HotelSmall</v>
          </cell>
          <cell r="E177" t="str">
            <v>GUESTROOM215_218</v>
          </cell>
          <cell r="F177">
            <v>130.44</v>
          </cell>
          <cell r="G177">
            <v>1</v>
          </cell>
          <cell r="H177" t="str">
            <v>Yes</v>
          </cell>
          <cell r="I177" t="str">
            <v>215_218 PTAC</v>
          </cell>
          <cell r="J177">
            <v>43.48</v>
          </cell>
          <cell r="K177">
            <v>6.6</v>
          </cell>
          <cell r="L177">
            <v>11.840299999999999</v>
          </cell>
          <cell r="M177">
            <v>21.74</v>
          </cell>
          <cell r="N177">
            <v>11.8935</v>
          </cell>
          <cell r="O177">
            <v>0</v>
          </cell>
          <cell r="R177">
            <v>1.0252300508275299E-3</v>
          </cell>
          <cell r="S177">
            <v>0</v>
          </cell>
          <cell r="T177">
            <v>0</v>
          </cell>
        </row>
        <row r="178">
          <cell r="A178" t="str">
            <v>HotelSmallELEVATORCOREFLR2</v>
          </cell>
          <cell r="B178" t="str">
            <v>STD2004</v>
          </cell>
          <cell r="C178" t="str">
            <v>Buffalo</v>
          </cell>
          <cell r="D178" t="str">
            <v>HotelSmall</v>
          </cell>
          <cell r="E178" t="str">
            <v>ELEVATORCOREFLR2</v>
          </cell>
          <cell r="F178">
            <v>15.05</v>
          </cell>
          <cell r="G178">
            <v>1</v>
          </cell>
          <cell r="H178" t="str">
            <v>No</v>
          </cell>
          <cell r="J178">
            <v>5.0199999999999996</v>
          </cell>
          <cell r="K178">
            <v>0</v>
          </cell>
          <cell r="L178">
            <v>0</v>
          </cell>
          <cell r="M178">
            <v>61.94</v>
          </cell>
          <cell r="N178">
            <v>0</v>
          </cell>
          <cell r="O178">
            <v>0</v>
          </cell>
          <cell r="R178">
            <v>1.0252300508275299E-3</v>
          </cell>
          <cell r="S178">
            <v>0</v>
          </cell>
          <cell r="T178">
            <v>0</v>
          </cell>
        </row>
        <row r="179">
          <cell r="A179" t="str">
            <v>HotelSmallGUESTROOM219</v>
          </cell>
          <cell r="B179" t="str">
            <v>STD2004</v>
          </cell>
          <cell r="C179" t="str">
            <v>Buffalo</v>
          </cell>
          <cell r="D179" t="str">
            <v>HotelSmall</v>
          </cell>
          <cell r="E179" t="str">
            <v>GUESTROOM219</v>
          </cell>
          <cell r="F179">
            <v>32.61</v>
          </cell>
          <cell r="G179">
            <v>1</v>
          </cell>
          <cell r="H179" t="str">
            <v>Yes</v>
          </cell>
          <cell r="I179" t="str">
            <v>219 PTAC</v>
          </cell>
          <cell r="J179">
            <v>10.87</v>
          </cell>
          <cell r="K179">
            <v>1.65</v>
          </cell>
          <cell r="L179">
            <v>11.840299999999999</v>
          </cell>
          <cell r="M179">
            <v>21.74</v>
          </cell>
          <cell r="N179">
            <v>11.8935</v>
          </cell>
          <cell r="O179">
            <v>0</v>
          </cell>
          <cell r="R179">
            <v>1.0252300508275299E-3</v>
          </cell>
          <cell r="S179">
            <v>0</v>
          </cell>
          <cell r="T179">
            <v>0</v>
          </cell>
        </row>
        <row r="180">
          <cell r="A180" t="str">
            <v>HotelSmallGUESTROOM220_223</v>
          </cell>
          <cell r="B180" t="str">
            <v>STD2004</v>
          </cell>
          <cell r="C180" t="str">
            <v>Buffalo</v>
          </cell>
          <cell r="D180" t="str">
            <v>HotelSmall</v>
          </cell>
          <cell r="E180" t="str">
            <v>GUESTROOM220_223</v>
          </cell>
          <cell r="F180">
            <v>130.44</v>
          </cell>
          <cell r="G180">
            <v>1</v>
          </cell>
          <cell r="H180" t="str">
            <v>Yes</v>
          </cell>
          <cell r="I180" t="str">
            <v>220_223 PTAC</v>
          </cell>
          <cell r="J180">
            <v>43.48</v>
          </cell>
          <cell r="K180">
            <v>6.6</v>
          </cell>
          <cell r="L180">
            <v>11.840299999999999</v>
          </cell>
          <cell r="M180">
            <v>21.74</v>
          </cell>
          <cell r="N180">
            <v>11.8935</v>
          </cell>
          <cell r="O180">
            <v>0</v>
          </cell>
          <cell r="R180">
            <v>1.0252300508275299E-3</v>
          </cell>
          <cell r="S180">
            <v>0</v>
          </cell>
          <cell r="T180">
            <v>0</v>
          </cell>
        </row>
        <row r="181">
          <cell r="A181" t="str">
            <v>HotelSmallGUESTROOM224</v>
          </cell>
          <cell r="B181" t="str">
            <v>STD2004</v>
          </cell>
          <cell r="C181" t="str">
            <v>Buffalo</v>
          </cell>
          <cell r="D181" t="str">
            <v>HotelSmall</v>
          </cell>
          <cell r="E181" t="str">
            <v>GUESTROOM224</v>
          </cell>
          <cell r="F181">
            <v>32.61</v>
          </cell>
          <cell r="G181">
            <v>1</v>
          </cell>
          <cell r="H181" t="str">
            <v>Yes</v>
          </cell>
          <cell r="I181" t="str">
            <v>224 PTAC</v>
          </cell>
          <cell r="J181">
            <v>10.87</v>
          </cell>
          <cell r="K181">
            <v>1.65</v>
          </cell>
          <cell r="L181">
            <v>11.840299999999999</v>
          </cell>
          <cell r="M181">
            <v>21.74</v>
          </cell>
          <cell r="N181">
            <v>11.8935</v>
          </cell>
          <cell r="O181">
            <v>0</v>
          </cell>
          <cell r="R181">
            <v>1.0252300508275299E-3</v>
          </cell>
          <cell r="S181">
            <v>0</v>
          </cell>
          <cell r="T181">
            <v>0</v>
          </cell>
        </row>
        <row r="182">
          <cell r="A182" t="str">
            <v>HotelSmallFRONTSTORAGEFLR2</v>
          </cell>
          <cell r="B182" t="str">
            <v>STD2004</v>
          </cell>
          <cell r="C182" t="str">
            <v>Buffalo</v>
          </cell>
          <cell r="D182" t="str">
            <v>HotelSmall</v>
          </cell>
          <cell r="E182" t="str">
            <v>FRONTSTORAGEFLR2</v>
          </cell>
          <cell r="F182">
            <v>12.54</v>
          </cell>
          <cell r="G182">
            <v>1</v>
          </cell>
          <cell r="H182" t="str">
            <v>No</v>
          </cell>
          <cell r="J182">
            <v>4.18</v>
          </cell>
          <cell r="K182">
            <v>0</v>
          </cell>
          <cell r="L182">
            <v>8.6111000000000004</v>
          </cell>
          <cell r="M182">
            <v>46.45</v>
          </cell>
          <cell r="N182">
            <v>0</v>
          </cell>
          <cell r="O182">
            <v>0</v>
          </cell>
          <cell r="R182">
            <v>1.0252300508275299E-3</v>
          </cell>
          <cell r="S182">
            <v>0</v>
          </cell>
          <cell r="T182">
            <v>0</v>
          </cell>
        </row>
        <row r="183">
          <cell r="A183" t="str">
            <v>HotelSmallFRONTSTAIRSFLR2</v>
          </cell>
          <cell r="B183" t="str">
            <v>STD2004</v>
          </cell>
          <cell r="C183" t="str">
            <v>Buffalo</v>
          </cell>
          <cell r="D183" t="str">
            <v>HotelSmall</v>
          </cell>
          <cell r="E183" t="str">
            <v>FRONTSTAIRSFLR2</v>
          </cell>
          <cell r="F183">
            <v>20.07</v>
          </cell>
          <cell r="G183">
            <v>1</v>
          </cell>
          <cell r="H183" t="str">
            <v>Yes</v>
          </cell>
          <cell r="I183" t="str">
            <v>FrontStairsFlr2 Unit Heater</v>
          </cell>
          <cell r="J183">
            <v>29.26</v>
          </cell>
          <cell r="K183">
            <v>0</v>
          </cell>
          <cell r="L183">
            <v>6.4583000000000004</v>
          </cell>
          <cell r="M183">
            <v>18.579999999999998</v>
          </cell>
          <cell r="N183">
            <v>0</v>
          </cell>
          <cell r="O183">
            <v>0</v>
          </cell>
          <cell r="R183">
            <v>1.0252300508275299E-3</v>
          </cell>
          <cell r="S183">
            <v>0</v>
          </cell>
          <cell r="T183">
            <v>0</v>
          </cell>
        </row>
        <row r="184">
          <cell r="A184" t="str">
            <v>HotelSmallREARSTAIRSFLR3</v>
          </cell>
          <cell r="B184" t="str">
            <v>STD2004</v>
          </cell>
          <cell r="C184" t="str">
            <v>Buffalo</v>
          </cell>
          <cell r="D184" t="str">
            <v>HotelSmall</v>
          </cell>
          <cell r="E184" t="str">
            <v>REARSTAIRSFLR3</v>
          </cell>
          <cell r="F184">
            <v>20.07</v>
          </cell>
          <cell r="G184">
            <v>1</v>
          </cell>
          <cell r="H184" t="str">
            <v>Yes</v>
          </cell>
          <cell r="I184" t="str">
            <v>RearStairsFlr3 Unit Heater</v>
          </cell>
          <cell r="J184">
            <v>29.27</v>
          </cell>
          <cell r="K184">
            <v>0</v>
          </cell>
          <cell r="L184">
            <v>6.4583000000000004</v>
          </cell>
          <cell r="M184">
            <v>18.59</v>
          </cell>
          <cell r="N184">
            <v>0</v>
          </cell>
          <cell r="O184">
            <v>0</v>
          </cell>
          <cell r="R184">
            <v>1.0252300508275299E-3</v>
          </cell>
          <cell r="S184">
            <v>0</v>
          </cell>
          <cell r="T184">
            <v>0</v>
          </cell>
        </row>
        <row r="185">
          <cell r="A185" t="str">
            <v>HotelSmallCORRIDORFLR3</v>
          </cell>
          <cell r="B185" t="str">
            <v>STD2004</v>
          </cell>
          <cell r="C185" t="str">
            <v>Buffalo</v>
          </cell>
          <cell r="D185" t="str">
            <v>HotelSmall</v>
          </cell>
          <cell r="E185" t="str">
            <v>CORRIDORFLR3</v>
          </cell>
          <cell r="F185">
            <v>125.42</v>
          </cell>
          <cell r="G185">
            <v>1</v>
          </cell>
          <cell r="H185" t="str">
            <v>Yes</v>
          </cell>
          <cell r="I185" t="str">
            <v>CorridorFlr3 PTAC</v>
          </cell>
          <cell r="J185">
            <v>18.39</v>
          </cell>
          <cell r="K185">
            <v>2.62</v>
          </cell>
          <cell r="L185">
            <v>5.3818999999999999</v>
          </cell>
          <cell r="M185">
            <v>18.579999999999998</v>
          </cell>
          <cell r="N185">
            <v>0</v>
          </cell>
          <cell r="O185">
            <v>0</v>
          </cell>
          <cell r="R185">
            <v>1.0252300508275299E-3</v>
          </cell>
          <cell r="S185">
            <v>0</v>
          </cell>
          <cell r="T185">
            <v>0</v>
          </cell>
        </row>
        <row r="186">
          <cell r="A186" t="str">
            <v>HotelSmallREARSTORAGEFLR3</v>
          </cell>
          <cell r="B186" t="str">
            <v>STD2004</v>
          </cell>
          <cell r="C186" t="str">
            <v>Buffalo</v>
          </cell>
          <cell r="D186" t="str">
            <v>HotelSmall</v>
          </cell>
          <cell r="E186" t="str">
            <v>REARSTORAGEFLR3</v>
          </cell>
          <cell r="F186">
            <v>20.07</v>
          </cell>
          <cell r="G186">
            <v>1</v>
          </cell>
          <cell r="H186" t="str">
            <v>No</v>
          </cell>
          <cell r="J186">
            <v>29.27</v>
          </cell>
          <cell r="K186">
            <v>0</v>
          </cell>
          <cell r="L186">
            <v>8.6111000000000004</v>
          </cell>
          <cell r="M186">
            <v>46.47</v>
          </cell>
          <cell r="N186">
            <v>0</v>
          </cell>
          <cell r="O186">
            <v>0</v>
          </cell>
          <cell r="R186">
            <v>1.0252300508275299E-3</v>
          </cell>
          <cell r="S186">
            <v>0</v>
          </cell>
          <cell r="T186">
            <v>0</v>
          </cell>
        </row>
        <row r="187">
          <cell r="A187" t="str">
            <v>HotelSmallGUESTROOM301</v>
          </cell>
          <cell r="B187" t="str">
            <v>STD2004</v>
          </cell>
          <cell r="C187" t="str">
            <v>Buffalo</v>
          </cell>
          <cell r="D187" t="str">
            <v>HotelSmall</v>
          </cell>
          <cell r="E187" t="str">
            <v>GUESTROOM301</v>
          </cell>
          <cell r="F187">
            <v>32.61</v>
          </cell>
          <cell r="G187">
            <v>1</v>
          </cell>
          <cell r="H187" t="str">
            <v>Yes</v>
          </cell>
          <cell r="I187" t="str">
            <v>301 PTAC</v>
          </cell>
          <cell r="J187">
            <v>33.450000000000003</v>
          </cell>
          <cell r="K187">
            <v>1.65</v>
          </cell>
          <cell r="L187">
            <v>11.840299999999999</v>
          </cell>
          <cell r="M187">
            <v>21.74</v>
          </cell>
          <cell r="N187">
            <v>11.8935</v>
          </cell>
          <cell r="O187">
            <v>0</v>
          </cell>
          <cell r="R187">
            <v>1.0252300508275299E-3</v>
          </cell>
          <cell r="S187">
            <v>0</v>
          </cell>
          <cell r="T187">
            <v>0</v>
          </cell>
        </row>
        <row r="188">
          <cell r="A188" t="str">
            <v>HotelSmallGUESTROOM302_305</v>
          </cell>
          <cell r="B188" t="str">
            <v>STD2004</v>
          </cell>
          <cell r="C188" t="str">
            <v>Buffalo</v>
          </cell>
          <cell r="D188" t="str">
            <v>HotelSmall</v>
          </cell>
          <cell r="E188" t="str">
            <v>GUESTROOM302_305</v>
          </cell>
          <cell r="F188">
            <v>130.44999999999999</v>
          </cell>
          <cell r="G188">
            <v>1</v>
          </cell>
          <cell r="H188" t="str">
            <v>Yes</v>
          </cell>
          <cell r="I188" t="str">
            <v>302_305 PTAC</v>
          </cell>
          <cell r="J188">
            <v>43.48</v>
          </cell>
          <cell r="K188">
            <v>6.58</v>
          </cell>
          <cell r="L188">
            <v>11.840299999999999</v>
          </cell>
          <cell r="M188">
            <v>21.74</v>
          </cell>
          <cell r="N188">
            <v>11.8935</v>
          </cell>
          <cell r="O188">
            <v>0</v>
          </cell>
          <cell r="R188">
            <v>1.0252300508275299E-3</v>
          </cell>
          <cell r="S188">
            <v>0</v>
          </cell>
          <cell r="T188">
            <v>0</v>
          </cell>
        </row>
        <row r="189">
          <cell r="A189" t="str">
            <v>HotelSmallGUESTROOM306_308</v>
          </cell>
          <cell r="B189" t="str">
            <v>STD2004</v>
          </cell>
          <cell r="C189" t="str">
            <v>Buffalo</v>
          </cell>
          <cell r="D189" t="str">
            <v>HotelSmall</v>
          </cell>
          <cell r="E189" t="str">
            <v>GUESTROOM306_308</v>
          </cell>
          <cell r="F189">
            <v>105.36</v>
          </cell>
          <cell r="G189">
            <v>1</v>
          </cell>
          <cell r="H189" t="str">
            <v>Yes</v>
          </cell>
          <cell r="I189" t="str">
            <v>306_308 PTAC</v>
          </cell>
          <cell r="J189">
            <v>35.119999999999997</v>
          </cell>
          <cell r="K189">
            <v>6.7</v>
          </cell>
          <cell r="L189">
            <v>11.840299999999999</v>
          </cell>
          <cell r="M189">
            <v>23.41</v>
          </cell>
          <cell r="N189">
            <v>11.8935</v>
          </cell>
          <cell r="O189">
            <v>0</v>
          </cell>
          <cell r="R189">
            <v>1.0252300508275299E-3</v>
          </cell>
          <cell r="S189">
            <v>0</v>
          </cell>
          <cell r="T189">
            <v>0</v>
          </cell>
        </row>
        <row r="190">
          <cell r="A190" t="str">
            <v>HotelSmallGUESTROOM309_312</v>
          </cell>
          <cell r="B190" t="str">
            <v>STD2004</v>
          </cell>
          <cell r="C190" t="str">
            <v>Buffalo</v>
          </cell>
          <cell r="D190" t="str">
            <v>HotelSmall</v>
          </cell>
          <cell r="E190" t="str">
            <v>GUESTROOM309_312</v>
          </cell>
          <cell r="F190">
            <v>130.44999999999999</v>
          </cell>
          <cell r="G190">
            <v>1</v>
          </cell>
          <cell r="H190" t="str">
            <v>Yes</v>
          </cell>
          <cell r="I190" t="str">
            <v>309_312 PTAC</v>
          </cell>
          <cell r="J190">
            <v>43.48</v>
          </cell>
          <cell r="K190">
            <v>6.58</v>
          </cell>
          <cell r="L190">
            <v>11.840299999999999</v>
          </cell>
          <cell r="M190">
            <v>21.74</v>
          </cell>
          <cell r="N190">
            <v>11.8935</v>
          </cell>
          <cell r="O190">
            <v>0</v>
          </cell>
          <cell r="R190">
            <v>1.0252300508275299E-3</v>
          </cell>
          <cell r="S190">
            <v>0</v>
          </cell>
          <cell r="T190">
            <v>0</v>
          </cell>
        </row>
        <row r="191">
          <cell r="A191" t="str">
            <v>HotelSmallGUESTROOM313</v>
          </cell>
          <cell r="B191" t="str">
            <v>STD2004</v>
          </cell>
          <cell r="C191" t="str">
            <v>Buffalo</v>
          </cell>
          <cell r="D191" t="str">
            <v>HotelSmall</v>
          </cell>
          <cell r="E191" t="str">
            <v>GUESTROOM313</v>
          </cell>
          <cell r="F191">
            <v>32.61</v>
          </cell>
          <cell r="G191">
            <v>1</v>
          </cell>
          <cell r="H191" t="str">
            <v>Yes</v>
          </cell>
          <cell r="I191" t="str">
            <v>313 PTAC</v>
          </cell>
          <cell r="J191">
            <v>10.87</v>
          </cell>
          <cell r="K191">
            <v>1.65</v>
          </cell>
          <cell r="L191">
            <v>11.840299999999999</v>
          </cell>
          <cell r="M191">
            <v>21.74</v>
          </cell>
          <cell r="N191">
            <v>11.8935</v>
          </cell>
          <cell r="O191">
            <v>0</v>
          </cell>
          <cell r="R191">
            <v>1.0252300508275299E-3</v>
          </cell>
          <cell r="S191">
            <v>0</v>
          </cell>
          <cell r="T191">
            <v>0</v>
          </cell>
        </row>
        <row r="192">
          <cell r="A192" t="str">
            <v>HotelSmallGUESTROOM314</v>
          </cell>
          <cell r="B192" t="str">
            <v>STD2004</v>
          </cell>
          <cell r="C192" t="str">
            <v>Buffalo</v>
          </cell>
          <cell r="D192" t="str">
            <v>HotelSmall</v>
          </cell>
          <cell r="E192" t="str">
            <v>GUESTROOM314</v>
          </cell>
          <cell r="F192">
            <v>32.61</v>
          </cell>
          <cell r="G192">
            <v>1</v>
          </cell>
          <cell r="H192" t="str">
            <v>Yes</v>
          </cell>
          <cell r="I192" t="str">
            <v>314 PTAC</v>
          </cell>
          <cell r="J192">
            <v>10.87</v>
          </cell>
          <cell r="K192">
            <v>1.65</v>
          </cell>
          <cell r="L192">
            <v>11.840299999999999</v>
          </cell>
          <cell r="M192">
            <v>21.74</v>
          </cell>
          <cell r="N192">
            <v>11.8935</v>
          </cell>
          <cell r="O192">
            <v>0</v>
          </cell>
          <cell r="R192">
            <v>1.0252300508275299E-3</v>
          </cell>
          <cell r="S192">
            <v>0</v>
          </cell>
          <cell r="T192">
            <v>0</v>
          </cell>
        </row>
        <row r="193">
          <cell r="A193" t="str">
            <v>HotelSmallGUESTROOM315_318</v>
          </cell>
          <cell r="B193" t="str">
            <v>STD2004</v>
          </cell>
          <cell r="C193" t="str">
            <v>Buffalo</v>
          </cell>
          <cell r="D193" t="str">
            <v>HotelSmall</v>
          </cell>
          <cell r="E193" t="str">
            <v>GUESTROOM315_318</v>
          </cell>
          <cell r="F193">
            <v>130.44</v>
          </cell>
          <cell r="G193">
            <v>1</v>
          </cell>
          <cell r="H193" t="str">
            <v>Yes</v>
          </cell>
          <cell r="I193" t="str">
            <v>315_318 PTAC</v>
          </cell>
          <cell r="J193">
            <v>43.48</v>
          </cell>
          <cell r="K193">
            <v>6.58</v>
          </cell>
          <cell r="L193">
            <v>11.840299999999999</v>
          </cell>
          <cell r="M193">
            <v>21.74</v>
          </cell>
          <cell r="N193">
            <v>11.8935</v>
          </cell>
          <cell r="O193">
            <v>0</v>
          </cell>
          <cell r="R193">
            <v>1.0252300508275299E-3</v>
          </cell>
          <cell r="S193">
            <v>0</v>
          </cell>
          <cell r="T193">
            <v>0</v>
          </cell>
        </row>
        <row r="194">
          <cell r="A194" t="str">
            <v>HotelSmallELEVATORCOREFLR3</v>
          </cell>
          <cell r="B194" t="str">
            <v>STD2004</v>
          </cell>
          <cell r="C194" t="str">
            <v>Buffalo</v>
          </cell>
          <cell r="D194" t="str">
            <v>HotelSmall</v>
          </cell>
          <cell r="E194" t="str">
            <v>ELEVATORCOREFLR3</v>
          </cell>
          <cell r="F194">
            <v>15.05</v>
          </cell>
          <cell r="G194">
            <v>1</v>
          </cell>
          <cell r="H194" t="str">
            <v>No</v>
          </cell>
          <cell r="J194">
            <v>5.0199999999999996</v>
          </cell>
          <cell r="K194">
            <v>0</v>
          </cell>
          <cell r="L194">
            <v>0</v>
          </cell>
          <cell r="M194">
            <v>61.94</v>
          </cell>
          <cell r="N194">
            <v>0</v>
          </cell>
          <cell r="O194">
            <v>0</v>
          </cell>
          <cell r="R194">
            <v>1.0252300508275299E-3</v>
          </cell>
          <cell r="S194">
            <v>0</v>
          </cell>
          <cell r="T194">
            <v>0</v>
          </cell>
        </row>
        <row r="195">
          <cell r="A195" t="str">
            <v>HotelSmallGUESTROOM319</v>
          </cell>
          <cell r="B195" t="str">
            <v>STD2004</v>
          </cell>
          <cell r="C195" t="str">
            <v>Buffalo</v>
          </cell>
          <cell r="D195" t="str">
            <v>HotelSmall</v>
          </cell>
          <cell r="E195" t="str">
            <v>GUESTROOM319</v>
          </cell>
          <cell r="F195">
            <v>32.61</v>
          </cell>
          <cell r="G195">
            <v>1</v>
          </cell>
          <cell r="H195" t="str">
            <v>Yes</v>
          </cell>
          <cell r="I195" t="str">
            <v>319 PTAC</v>
          </cell>
          <cell r="J195">
            <v>10.87</v>
          </cell>
          <cell r="K195">
            <v>1.65</v>
          </cell>
          <cell r="L195">
            <v>11.840299999999999</v>
          </cell>
          <cell r="M195">
            <v>21.74</v>
          </cell>
          <cell r="N195">
            <v>11.8935</v>
          </cell>
          <cell r="O195">
            <v>0</v>
          </cell>
          <cell r="R195">
            <v>1.0252300508275299E-3</v>
          </cell>
          <cell r="S195">
            <v>0</v>
          </cell>
          <cell r="T195">
            <v>0</v>
          </cell>
        </row>
        <row r="196">
          <cell r="A196" t="str">
            <v>HotelSmallGUESTROOM320_323</v>
          </cell>
          <cell r="B196" t="str">
            <v>STD2004</v>
          </cell>
          <cell r="C196" t="str">
            <v>Buffalo</v>
          </cell>
          <cell r="D196" t="str">
            <v>HotelSmall</v>
          </cell>
          <cell r="E196" t="str">
            <v>GUESTROOM320_323</v>
          </cell>
          <cell r="F196">
            <v>130.44</v>
          </cell>
          <cell r="G196">
            <v>1</v>
          </cell>
          <cell r="H196" t="str">
            <v>Yes</v>
          </cell>
          <cell r="I196" t="str">
            <v>320_323 PTAC</v>
          </cell>
          <cell r="J196">
            <v>43.48</v>
          </cell>
          <cell r="K196">
            <v>6.58</v>
          </cell>
          <cell r="L196">
            <v>11.840299999999999</v>
          </cell>
          <cell r="M196">
            <v>21.74</v>
          </cell>
          <cell r="N196">
            <v>11.8935</v>
          </cell>
          <cell r="O196">
            <v>0</v>
          </cell>
          <cell r="R196">
            <v>1.0252300508275299E-3</v>
          </cell>
          <cell r="S196">
            <v>0</v>
          </cell>
          <cell r="T196">
            <v>0</v>
          </cell>
        </row>
        <row r="197">
          <cell r="A197" t="str">
            <v>HotelSmallGUESTROOM324</v>
          </cell>
          <cell r="B197" t="str">
            <v>STD2004</v>
          </cell>
          <cell r="C197" t="str">
            <v>Buffalo</v>
          </cell>
          <cell r="D197" t="str">
            <v>HotelSmall</v>
          </cell>
          <cell r="E197" t="str">
            <v>GUESTROOM324</v>
          </cell>
          <cell r="F197">
            <v>32.61</v>
          </cell>
          <cell r="G197">
            <v>1</v>
          </cell>
          <cell r="H197" t="str">
            <v>Yes</v>
          </cell>
          <cell r="I197" t="str">
            <v>324 PTAC</v>
          </cell>
          <cell r="J197">
            <v>10.87</v>
          </cell>
          <cell r="K197">
            <v>1.65</v>
          </cell>
          <cell r="L197">
            <v>11.840299999999999</v>
          </cell>
          <cell r="M197">
            <v>21.74</v>
          </cell>
          <cell r="N197">
            <v>11.8935</v>
          </cell>
          <cell r="O197">
            <v>0</v>
          </cell>
          <cell r="R197">
            <v>1.0252300508275299E-3</v>
          </cell>
          <cell r="S197">
            <v>0</v>
          </cell>
          <cell r="T197">
            <v>0</v>
          </cell>
        </row>
        <row r="198">
          <cell r="A198" t="str">
            <v>HotelSmallFRONTSTORAGEFLR3</v>
          </cell>
          <cell r="B198" t="str">
            <v>STD2004</v>
          </cell>
          <cell r="C198" t="str">
            <v>Buffalo</v>
          </cell>
          <cell r="D198" t="str">
            <v>HotelSmall</v>
          </cell>
          <cell r="E198" t="str">
            <v>FRONTSTORAGEFLR3</v>
          </cell>
          <cell r="F198">
            <v>12.54</v>
          </cell>
          <cell r="G198">
            <v>1</v>
          </cell>
          <cell r="H198" t="str">
            <v>No</v>
          </cell>
          <cell r="J198">
            <v>4.18</v>
          </cell>
          <cell r="K198">
            <v>0</v>
          </cell>
          <cell r="L198">
            <v>8.6111000000000004</v>
          </cell>
          <cell r="M198">
            <v>46.45</v>
          </cell>
          <cell r="N198">
            <v>0</v>
          </cell>
          <cell r="O198">
            <v>0</v>
          </cell>
          <cell r="R198">
            <v>1.0252300508275299E-3</v>
          </cell>
          <cell r="S198">
            <v>0</v>
          </cell>
          <cell r="T198">
            <v>0</v>
          </cell>
        </row>
        <row r="199">
          <cell r="A199" t="str">
            <v>HotelSmallFRONTSTAIRSFLR3</v>
          </cell>
          <cell r="B199" t="str">
            <v>STD2004</v>
          </cell>
          <cell r="C199" t="str">
            <v>Buffalo</v>
          </cell>
          <cell r="D199" t="str">
            <v>HotelSmall</v>
          </cell>
          <cell r="E199" t="str">
            <v>FRONTSTAIRSFLR3</v>
          </cell>
          <cell r="F199">
            <v>20.07</v>
          </cell>
          <cell r="G199">
            <v>1</v>
          </cell>
          <cell r="H199" t="str">
            <v>Yes</v>
          </cell>
          <cell r="I199" t="str">
            <v>FrontStairsFlr3 Unit Heater</v>
          </cell>
          <cell r="J199">
            <v>29.26</v>
          </cell>
          <cell r="K199">
            <v>0</v>
          </cell>
          <cell r="L199">
            <v>6.4583000000000004</v>
          </cell>
          <cell r="M199">
            <v>18.579999999999998</v>
          </cell>
          <cell r="N199">
            <v>0</v>
          </cell>
          <cell r="O199">
            <v>0</v>
          </cell>
          <cell r="R199">
            <v>1.0252300508275299E-3</v>
          </cell>
          <cell r="S199">
            <v>0</v>
          </cell>
          <cell r="T199">
            <v>0</v>
          </cell>
        </row>
        <row r="200">
          <cell r="A200" t="str">
            <v>HotelSmallREARSTAIRSFLR4</v>
          </cell>
          <cell r="B200" t="str">
            <v>STD2004</v>
          </cell>
          <cell r="C200" t="str">
            <v>Buffalo</v>
          </cell>
          <cell r="D200" t="str">
            <v>HotelSmall</v>
          </cell>
          <cell r="E200" t="str">
            <v>REARSTAIRSFLR4</v>
          </cell>
          <cell r="F200">
            <v>20.07</v>
          </cell>
          <cell r="G200">
            <v>1</v>
          </cell>
          <cell r="H200" t="str">
            <v>Yes</v>
          </cell>
          <cell r="I200" t="str">
            <v>RearStairsFlr4 Unit Heater</v>
          </cell>
          <cell r="J200">
            <v>29.27</v>
          </cell>
          <cell r="K200">
            <v>0</v>
          </cell>
          <cell r="L200">
            <v>6.4583000000000004</v>
          </cell>
          <cell r="M200">
            <v>18.59</v>
          </cell>
          <cell r="N200">
            <v>0</v>
          </cell>
          <cell r="O200">
            <v>0</v>
          </cell>
          <cell r="R200">
            <v>1.0252300508275299E-3</v>
          </cell>
          <cell r="S200">
            <v>0</v>
          </cell>
          <cell r="T200">
            <v>0</v>
          </cell>
        </row>
        <row r="201">
          <cell r="A201" t="str">
            <v>HotelSmallCORRIDORFLR4</v>
          </cell>
          <cell r="B201" t="str">
            <v>STD2004</v>
          </cell>
          <cell r="C201" t="str">
            <v>Buffalo</v>
          </cell>
          <cell r="D201" t="str">
            <v>HotelSmall</v>
          </cell>
          <cell r="E201" t="str">
            <v>CORRIDORFLR4</v>
          </cell>
          <cell r="F201">
            <v>125.42</v>
          </cell>
          <cell r="G201">
            <v>1</v>
          </cell>
          <cell r="H201" t="str">
            <v>Yes</v>
          </cell>
          <cell r="I201" t="str">
            <v>CorridorFlr4 PTAC</v>
          </cell>
          <cell r="J201">
            <v>18.39</v>
          </cell>
          <cell r="K201">
            <v>2.62</v>
          </cell>
          <cell r="L201">
            <v>5.3818999999999999</v>
          </cell>
          <cell r="M201">
            <v>18.579999999999998</v>
          </cell>
          <cell r="N201">
            <v>0</v>
          </cell>
          <cell r="O201">
            <v>0</v>
          </cell>
          <cell r="R201">
            <v>1.0252300508275299E-3</v>
          </cell>
          <cell r="S201">
            <v>0</v>
          </cell>
          <cell r="T201">
            <v>0</v>
          </cell>
        </row>
        <row r="202">
          <cell r="A202" t="str">
            <v>HotelSmallREARSTORAGEFLR4</v>
          </cell>
          <cell r="B202" t="str">
            <v>STD2004</v>
          </cell>
          <cell r="C202" t="str">
            <v>Buffalo</v>
          </cell>
          <cell r="D202" t="str">
            <v>HotelSmall</v>
          </cell>
          <cell r="E202" t="str">
            <v>REARSTORAGEFLR4</v>
          </cell>
          <cell r="F202">
            <v>20.07</v>
          </cell>
          <cell r="G202">
            <v>1</v>
          </cell>
          <cell r="H202" t="str">
            <v>No</v>
          </cell>
          <cell r="J202">
            <v>29.27</v>
          </cell>
          <cell r="K202">
            <v>0</v>
          </cell>
          <cell r="L202">
            <v>8.6111000000000004</v>
          </cell>
          <cell r="M202">
            <v>46.47</v>
          </cell>
          <cell r="N202">
            <v>0</v>
          </cell>
          <cell r="O202">
            <v>0</v>
          </cell>
          <cell r="R202">
            <v>1.0252300508275299E-3</v>
          </cell>
          <cell r="S202">
            <v>0</v>
          </cell>
          <cell r="T202">
            <v>0</v>
          </cell>
        </row>
        <row r="203">
          <cell r="A203" t="str">
            <v>HotelSmallGUESTROOM401</v>
          </cell>
          <cell r="B203" t="str">
            <v>STD2004</v>
          </cell>
          <cell r="C203" t="str">
            <v>Buffalo</v>
          </cell>
          <cell r="D203" t="str">
            <v>HotelSmall</v>
          </cell>
          <cell r="E203" t="str">
            <v>GUESTROOM401</v>
          </cell>
          <cell r="F203">
            <v>32.61</v>
          </cell>
          <cell r="G203">
            <v>1</v>
          </cell>
          <cell r="H203" t="str">
            <v>Yes</v>
          </cell>
          <cell r="I203" t="str">
            <v>401 PTAC</v>
          </cell>
          <cell r="J203">
            <v>33.450000000000003</v>
          </cell>
          <cell r="K203">
            <v>1.65</v>
          </cell>
          <cell r="L203">
            <v>11.840299999999999</v>
          </cell>
          <cell r="M203">
            <v>21.74</v>
          </cell>
          <cell r="N203">
            <v>11.8935</v>
          </cell>
          <cell r="O203">
            <v>0</v>
          </cell>
          <cell r="R203">
            <v>1.0252300508275299E-3</v>
          </cell>
          <cell r="S203">
            <v>0</v>
          </cell>
          <cell r="T203">
            <v>0</v>
          </cell>
        </row>
        <row r="204">
          <cell r="A204" t="str">
            <v>HotelSmallGUESTROOM402_405</v>
          </cell>
          <cell r="B204" t="str">
            <v>STD2004</v>
          </cell>
          <cell r="C204" t="str">
            <v>Buffalo</v>
          </cell>
          <cell r="D204" t="str">
            <v>HotelSmall</v>
          </cell>
          <cell r="E204" t="str">
            <v>GUESTROOM402_405</v>
          </cell>
          <cell r="F204">
            <v>130.44999999999999</v>
          </cell>
          <cell r="G204">
            <v>1</v>
          </cell>
          <cell r="H204" t="str">
            <v>Yes</v>
          </cell>
          <cell r="I204" t="str">
            <v>402_405 PTAC</v>
          </cell>
          <cell r="J204">
            <v>43.48</v>
          </cell>
          <cell r="K204">
            <v>6.58</v>
          </cell>
          <cell r="L204">
            <v>11.840299999999999</v>
          </cell>
          <cell r="M204">
            <v>21.74</v>
          </cell>
          <cell r="N204">
            <v>11.8935</v>
          </cell>
          <cell r="O204">
            <v>0</v>
          </cell>
          <cell r="R204">
            <v>1.0252300508275299E-3</v>
          </cell>
          <cell r="S204">
            <v>0</v>
          </cell>
          <cell r="T204">
            <v>0</v>
          </cell>
        </row>
        <row r="205">
          <cell r="A205" t="str">
            <v>HotelSmallGUESTROOM406_408</v>
          </cell>
          <cell r="B205" t="str">
            <v>STD2004</v>
          </cell>
          <cell r="C205" t="str">
            <v>Buffalo</v>
          </cell>
          <cell r="D205" t="str">
            <v>HotelSmall</v>
          </cell>
          <cell r="E205" t="str">
            <v>GUESTROOM406_408</v>
          </cell>
          <cell r="F205">
            <v>105.36</v>
          </cell>
          <cell r="G205">
            <v>1</v>
          </cell>
          <cell r="H205" t="str">
            <v>Yes</v>
          </cell>
          <cell r="I205" t="str">
            <v>406_408 PTAC</v>
          </cell>
          <cell r="J205">
            <v>35.119999999999997</v>
          </cell>
          <cell r="K205">
            <v>6.7</v>
          </cell>
          <cell r="L205">
            <v>11.840299999999999</v>
          </cell>
          <cell r="M205">
            <v>23.41</v>
          </cell>
          <cell r="N205">
            <v>11.8935</v>
          </cell>
          <cell r="O205">
            <v>0</v>
          </cell>
          <cell r="R205">
            <v>1.0252300508275299E-3</v>
          </cell>
          <cell r="S205">
            <v>0</v>
          </cell>
          <cell r="T205">
            <v>0</v>
          </cell>
        </row>
        <row r="206">
          <cell r="A206" t="str">
            <v>HotelSmallGUESTROOM409_412</v>
          </cell>
          <cell r="B206" t="str">
            <v>STD2004</v>
          </cell>
          <cell r="C206" t="str">
            <v>Buffalo</v>
          </cell>
          <cell r="D206" t="str">
            <v>HotelSmall</v>
          </cell>
          <cell r="E206" t="str">
            <v>GUESTROOM409_412</v>
          </cell>
          <cell r="F206">
            <v>130.44999999999999</v>
          </cell>
          <cell r="G206">
            <v>1</v>
          </cell>
          <cell r="H206" t="str">
            <v>Yes</v>
          </cell>
          <cell r="I206" t="str">
            <v>409_412 PTAC</v>
          </cell>
          <cell r="J206">
            <v>43.48</v>
          </cell>
          <cell r="K206">
            <v>6.58</v>
          </cell>
          <cell r="L206">
            <v>11.840299999999999</v>
          </cell>
          <cell r="M206">
            <v>21.74</v>
          </cell>
          <cell r="N206">
            <v>11.8935</v>
          </cell>
          <cell r="O206">
            <v>0</v>
          </cell>
          <cell r="R206">
            <v>1.0252300508275299E-3</v>
          </cell>
          <cell r="S206">
            <v>0</v>
          </cell>
          <cell r="T206">
            <v>0</v>
          </cell>
        </row>
        <row r="207">
          <cell r="A207" t="str">
            <v>HotelSmallGUESTROOM413</v>
          </cell>
          <cell r="B207" t="str">
            <v>STD2004</v>
          </cell>
          <cell r="C207" t="str">
            <v>Buffalo</v>
          </cell>
          <cell r="D207" t="str">
            <v>HotelSmall</v>
          </cell>
          <cell r="E207" t="str">
            <v>GUESTROOM413</v>
          </cell>
          <cell r="F207">
            <v>32.61</v>
          </cell>
          <cell r="G207">
            <v>1</v>
          </cell>
          <cell r="H207" t="str">
            <v>Yes</v>
          </cell>
          <cell r="I207" t="str">
            <v>413 PTAC</v>
          </cell>
          <cell r="J207">
            <v>10.87</v>
          </cell>
          <cell r="K207">
            <v>1.65</v>
          </cell>
          <cell r="L207">
            <v>11.840299999999999</v>
          </cell>
          <cell r="M207">
            <v>21.74</v>
          </cell>
          <cell r="N207">
            <v>11.8935</v>
          </cell>
          <cell r="O207">
            <v>0</v>
          </cell>
          <cell r="R207">
            <v>1.0252300508275299E-3</v>
          </cell>
          <cell r="S207">
            <v>0</v>
          </cell>
          <cell r="T207">
            <v>0</v>
          </cell>
        </row>
        <row r="208">
          <cell r="A208" t="str">
            <v>HotelSmallGUESTROOM414</v>
          </cell>
          <cell r="B208" t="str">
            <v>STD2004</v>
          </cell>
          <cell r="C208" t="str">
            <v>Buffalo</v>
          </cell>
          <cell r="D208" t="str">
            <v>HotelSmall</v>
          </cell>
          <cell r="E208" t="str">
            <v>GUESTROOM414</v>
          </cell>
          <cell r="F208">
            <v>32.61</v>
          </cell>
          <cell r="G208">
            <v>1</v>
          </cell>
          <cell r="H208" t="str">
            <v>Yes</v>
          </cell>
          <cell r="I208" t="str">
            <v>414 PTAC</v>
          </cell>
          <cell r="J208">
            <v>10.87</v>
          </cell>
          <cell r="K208">
            <v>1.65</v>
          </cell>
          <cell r="L208">
            <v>11.840299999999999</v>
          </cell>
          <cell r="M208">
            <v>21.74</v>
          </cell>
          <cell r="N208">
            <v>11.8935</v>
          </cell>
          <cell r="O208">
            <v>0</v>
          </cell>
          <cell r="R208">
            <v>1.0252300508275299E-3</v>
          </cell>
          <cell r="S208">
            <v>0</v>
          </cell>
          <cell r="T208">
            <v>0</v>
          </cell>
        </row>
        <row r="209">
          <cell r="A209" t="str">
            <v>HotelSmallGUESTROOM415_418</v>
          </cell>
          <cell r="B209" t="str">
            <v>STD2004</v>
          </cell>
          <cell r="C209" t="str">
            <v>Buffalo</v>
          </cell>
          <cell r="D209" t="str">
            <v>HotelSmall</v>
          </cell>
          <cell r="E209" t="str">
            <v>GUESTROOM415_418</v>
          </cell>
          <cell r="F209">
            <v>130.44</v>
          </cell>
          <cell r="G209">
            <v>1</v>
          </cell>
          <cell r="H209" t="str">
            <v>Yes</v>
          </cell>
          <cell r="I209" t="str">
            <v>415_418 PTAC</v>
          </cell>
          <cell r="J209">
            <v>43.48</v>
          </cell>
          <cell r="K209">
            <v>6.58</v>
          </cell>
          <cell r="L209">
            <v>11.840299999999999</v>
          </cell>
          <cell r="M209">
            <v>21.74</v>
          </cell>
          <cell r="N209">
            <v>11.8935</v>
          </cell>
          <cell r="O209">
            <v>0</v>
          </cell>
          <cell r="R209">
            <v>1.0252300508275299E-3</v>
          </cell>
          <cell r="S209">
            <v>0</v>
          </cell>
          <cell r="T209">
            <v>0</v>
          </cell>
        </row>
        <row r="210">
          <cell r="A210" t="str">
            <v>HotelSmallELEVATORCOREFLR4</v>
          </cell>
          <cell r="B210" t="str">
            <v>STD2004</v>
          </cell>
          <cell r="C210" t="str">
            <v>Buffalo</v>
          </cell>
          <cell r="D210" t="str">
            <v>HotelSmall</v>
          </cell>
          <cell r="E210" t="str">
            <v>ELEVATORCOREFLR4</v>
          </cell>
          <cell r="F210">
            <v>15.05</v>
          </cell>
          <cell r="G210">
            <v>1</v>
          </cell>
          <cell r="H210" t="str">
            <v>No</v>
          </cell>
          <cell r="J210">
            <v>5.0199999999999996</v>
          </cell>
          <cell r="K210">
            <v>0</v>
          </cell>
          <cell r="L210">
            <v>0</v>
          </cell>
          <cell r="M210">
            <v>61.94</v>
          </cell>
          <cell r="N210">
            <v>0</v>
          </cell>
          <cell r="O210">
            <v>0</v>
          </cell>
          <cell r="R210">
            <v>1.0252300508275299E-3</v>
          </cell>
          <cell r="S210">
            <v>0</v>
          </cell>
          <cell r="T210">
            <v>0</v>
          </cell>
        </row>
        <row r="211">
          <cell r="A211" t="str">
            <v>HotelSmallGUESTROOM419</v>
          </cell>
          <cell r="B211" t="str">
            <v>STD2004</v>
          </cell>
          <cell r="C211" t="str">
            <v>Buffalo</v>
          </cell>
          <cell r="D211" t="str">
            <v>HotelSmall</v>
          </cell>
          <cell r="E211" t="str">
            <v>GUESTROOM419</v>
          </cell>
          <cell r="F211">
            <v>32.61</v>
          </cell>
          <cell r="G211">
            <v>1</v>
          </cell>
          <cell r="H211" t="str">
            <v>Yes</v>
          </cell>
          <cell r="I211" t="str">
            <v>419 PTAC</v>
          </cell>
          <cell r="J211">
            <v>10.87</v>
          </cell>
          <cell r="K211">
            <v>1.65</v>
          </cell>
          <cell r="L211">
            <v>11.840299999999999</v>
          </cell>
          <cell r="M211">
            <v>21.74</v>
          </cell>
          <cell r="N211">
            <v>11.8935</v>
          </cell>
          <cell r="O211">
            <v>0</v>
          </cell>
          <cell r="R211">
            <v>1.0252300508275299E-3</v>
          </cell>
          <cell r="S211">
            <v>0</v>
          </cell>
          <cell r="T211">
            <v>0</v>
          </cell>
        </row>
        <row r="212">
          <cell r="A212" t="str">
            <v>HotelSmallGUESTROOM420_423</v>
          </cell>
          <cell r="B212" t="str">
            <v>STD2004</v>
          </cell>
          <cell r="C212" t="str">
            <v>Buffalo</v>
          </cell>
          <cell r="D212" t="str">
            <v>HotelSmall</v>
          </cell>
          <cell r="E212" t="str">
            <v>GUESTROOM420_423</v>
          </cell>
          <cell r="F212">
            <v>130.44</v>
          </cell>
          <cell r="G212">
            <v>1</v>
          </cell>
          <cell r="H212" t="str">
            <v>Yes</v>
          </cell>
          <cell r="I212" t="str">
            <v>420_423 PTAC</v>
          </cell>
          <cell r="J212">
            <v>43.48</v>
          </cell>
          <cell r="K212">
            <v>6.58</v>
          </cell>
          <cell r="L212">
            <v>11.840299999999999</v>
          </cell>
          <cell r="M212">
            <v>21.74</v>
          </cell>
          <cell r="N212">
            <v>11.8935</v>
          </cell>
          <cell r="O212">
            <v>0</v>
          </cell>
          <cell r="R212">
            <v>1.0252300508275299E-3</v>
          </cell>
          <cell r="S212">
            <v>0</v>
          </cell>
          <cell r="T212">
            <v>0</v>
          </cell>
        </row>
        <row r="213">
          <cell r="A213" t="str">
            <v>HotelSmallGUESTROOM424</v>
          </cell>
          <cell r="B213" t="str">
            <v>STD2004</v>
          </cell>
          <cell r="C213" t="str">
            <v>Buffalo</v>
          </cell>
          <cell r="D213" t="str">
            <v>HotelSmall</v>
          </cell>
          <cell r="E213" t="str">
            <v>GUESTROOM424</v>
          </cell>
          <cell r="F213">
            <v>32.61</v>
          </cell>
          <cell r="G213">
            <v>1</v>
          </cell>
          <cell r="H213" t="str">
            <v>Yes</v>
          </cell>
          <cell r="I213" t="str">
            <v>424 PTAC</v>
          </cell>
          <cell r="J213">
            <v>10.87</v>
          </cell>
          <cell r="K213">
            <v>1.65</v>
          </cell>
          <cell r="L213">
            <v>11.840299999999999</v>
          </cell>
          <cell r="M213">
            <v>21.74</v>
          </cell>
          <cell r="N213">
            <v>11.8935</v>
          </cell>
          <cell r="O213">
            <v>0</v>
          </cell>
          <cell r="R213">
            <v>1.0252300508275299E-3</v>
          </cell>
          <cell r="S213">
            <v>0</v>
          </cell>
          <cell r="T213">
            <v>0</v>
          </cell>
        </row>
        <row r="214">
          <cell r="A214" t="str">
            <v>HotelSmallFRONTSTORAGEFLR4</v>
          </cell>
          <cell r="B214" t="str">
            <v>STD2004</v>
          </cell>
          <cell r="C214" t="str">
            <v>Buffalo</v>
          </cell>
          <cell r="D214" t="str">
            <v>HotelSmall</v>
          </cell>
          <cell r="E214" t="str">
            <v>FRONTSTORAGEFLR4</v>
          </cell>
          <cell r="F214">
            <v>12.54</v>
          </cell>
          <cell r="G214">
            <v>1</v>
          </cell>
          <cell r="H214" t="str">
            <v>No</v>
          </cell>
          <cell r="J214">
            <v>4.18</v>
          </cell>
          <cell r="K214">
            <v>0</v>
          </cell>
          <cell r="L214">
            <v>8.6111000000000004</v>
          </cell>
          <cell r="M214">
            <v>46.45</v>
          </cell>
          <cell r="N214">
            <v>0</v>
          </cell>
          <cell r="O214">
            <v>0</v>
          </cell>
          <cell r="R214">
            <v>1.0252300508275299E-3</v>
          </cell>
          <cell r="S214">
            <v>0</v>
          </cell>
          <cell r="T214">
            <v>0</v>
          </cell>
        </row>
        <row r="215">
          <cell r="A215" t="str">
            <v>HotelSmallFRONTSTAIRSFLR4</v>
          </cell>
          <cell r="B215" t="str">
            <v>STD2004</v>
          </cell>
          <cell r="C215" t="str">
            <v>Buffalo</v>
          </cell>
          <cell r="D215" t="str">
            <v>HotelSmall</v>
          </cell>
          <cell r="E215" t="str">
            <v>FRONTSTAIRSFLR4</v>
          </cell>
          <cell r="F215">
            <v>20.07</v>
          </cell>
          <cell r="G215">
            <v>1</v>
          </cell>
          <cell r="H215" t="str">
            <v>Yes</v>
          </cell>
          <cell r="I215" t="str">
            <v>FrontStairsFlr4 Unit Heater</v>
          </cell>
          <cell r="J215">
            <v>29.26</v>
          </cell>
          <cell r="K215">
            <v>0</v>
          </cell>
          <cell r="L215">
            <v>6.4583000000000004</v>
          </cell>
          <cell r="M215">
            <v>18.579999999999998</v>
          </cell>
          <cell r="N215">
            <v>0</v>
          </cell>
          <cell r="O215">
            <v>0</v>
          </cell>
          <cell r="R215">
            <v>1.0252300508275299E-3</v>
          </cell>
          <cell r="S215">
            <v>0</v>
          </cell>
          <cell r="T215">
            <v>0</v>
          </cell>
        </row>
        <row r="216">
          <cell r="A216" t="str">
            <v>HotelSmallTotal</v>
          </cell>
          <cell r="B216" t="str">
            <v>STD2004</v>
          </cell>
          <cell r="C216" t="str">
            <v>Buffalo</v>
          </cell>
          <cell r="D216" t="str">
            <v>HotelSmall</v>
          </cell>
          <cell r="E216" t="str">
            <v>Total</v>
          </cell>
          <cell r="F216">
            <v>4013.58</v>
          </cell>
          <cell r="J216">
            <v>1694.58</v>
          </cell>
          <cell r="K216">
            <v>184.3</v>
          </cell>
          <cell r="L216">
            <v>10.5029</v>
          </cell>
          <cell r="M216">
            <v>13.37</v>
          </cell>
          <cell r="N216">
            <v>24.202000000000002</v>
          </cell>
          <cell r="O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A217" t="str">
            <v>HotelSmallConditioned Total</v>
          </cell>
          <cell r="B217" t="str">
            <v>STD2004</v>
          </cell>
          <cell r="C217" t="str">
            <v>Buffalo</v>
          </cell>
          <cell r="D217" t="str">
            <v>HotelSmall</v>
          </cell>
          <cell r="E217" t="str">
            <v>Conditioned Total</v>
          </cell>
          <cell r="F217">
            <v>3725.09</v>
          </cell>
          <cell r="J217">
            <v>1492.32</v>
          </cell>
          <cell r="K217">
            <v>179.37</v>
          </cell>
          <cell r="L217">
            <v>10.8451</v>
          </cell>
          <cell r="M217">
            <v>13.04</v>
          </cell>
          <cell r="N217">
            <v>10.1966</v>
          </cell>
          <cell r="O217">
            <v>0</v>
          </cell>
          <cell r="R217">
            <v>0</v>
          </cell>
          <cell r="S217">
            <v>0</v>
          </cell>
          <cell r="T217">
            <v>0</v>
          </cell>
        </row>
        <row r="218">
          <cell r="A218" t="str">
            <v>HotelSmallUnconditioned Total</v>
          </cell>
          <cell r="B218" t="str">
            <v>STD2004</v>
          </cell>
          <cell r="C218" t="str">
            <v>Buffalo</v>
          </cell>
          <cell r="D218" t="str">
            <v>HotelSmall</v>
          </cell>
          <cell r="E218" t="str">
            <v>Unconditioned Total</v>
          </cell>
          <cell r="F218">
            <v>288.49</v>
          </cell>
          <cell r="J218">
            <v>202.26</v>
          </cell>
          <cell r="K218">
            <v>4.93</v>
          </cell>
          <cell r="L218">
            <v>6.0842000000000001</v>
          </cell>
          <cell r="M218">
            <v>20.16</v>
          </cell>
          <cell r="N218">
            <v>205.04570000000001</v>
          </cell>
          <cell r="O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A219" t="str">
            <v>HotelSmallNot Part of Total</v>
          </cell>
          <cell r="B219" t="str">
            <v>STD2004</v>
          </cell>
          <cell r="C219" t="str">
            <v>Buffalo</v>
          </cell>
          <cell r="D219" t="str">
            <v>HotelSmall</v>
          </cell>
          <cell r="E219" t="str">
            <v>Not Part of Total</v>
          </cell>
          <cell r="F219">
            <v>0</v>
          </cell>
          <cell r="J219">
            <v>0</v>
          </cell>
          <cell r="K219">
            <v>0</v>
          </cell>
          <cell r="O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A220" t="str">
            <v>OfficeLargeBASEMENT</v>
          </cell>
          <cell r="B220" t="str">
            <v>STD2004</v>
          </cell>
          <cell r="C220" t="str">
            <v>Buffalo</v>
          </cell>
          <cell r="D220" t="str">
            <v>OfficeLarge</v>
          </cell>
          <cell r="E220" t="str">
            <v>BASEMENT</v>
          </cell>
          <cell r="F220">
            <v>2779.43</v>
          </cell>
          <cell r="G220">
            <v>1</v>
          </cell>
          <cell r="H220" t="str">
            <v>Yes</v>
          </cell>
          <cell r="I220" t="str">
            <v>CAV_BAS</v>
          </cell>
          <cell r="J220">
            <v>0</v>
          </cell>
          <cell r="K220">
            <v>0</v>
          </cell>
          <cell r="L220">
            <v>11.611599999999999</v>
          </cell>
          <cell r="M220">
            <v>18.579999999999998</v>
          </cell>
          <cell r="N220">
            <v>4.8418000000000001</v>
          </cell>
          <cell r="O220">
            <v>0</v>
          </cell>
          <cell r="P220">
            <v>1.4118999999999999</v>
          </cell>
          <cell r="R220">
            <v>0</v>
          </cell>
          <cell r="S220">
            <v>0</v>
          </cell>
          <cell r="T220">
            <v>0</v>
          </cell>
        </row>
        <row r="221">
          <cell r="A221" t="str">
            <v>OfficeLargeCORE_BOTTOM</v>
          </cell>
          <cell r="B221" t="str">
            <v>STD2004</v>
          </cell>
          <cell r="C221" t="str">
            <v>Buffalo</v>
          </cell>
          <cell r="D221" t="str">
            <v>OfficeLarge</v>
          </cell>
          <cell r="E221" t="str">
            <v>CORE_BOTTOM</v>
          </cell>
          <cell r="F221">
            <v>2496.12</v>
          </cell>
          <cell r="G221">
            <v>1</v>
          </cell>
          <cell r="H221" t="str">
            <v>Yes</v>
          </cell>
          <cell r="I221" t="str">
            <v>VAV_BOT WITH REHEAT</v>
          </cell>
          <cell r="J221">
            <v>0</v>
          </cell>
          <cell r="K221">
            <v>0</v>
          </cell>
          <cell r="L221">
            <v>11.611599999999999</v>
          </cell>
          <cell r="M221">
            <v>18.579999999999998</v>
          </cell>
          <cell r="N221">
            <v>8.0696999999999992</v>
          </cell>
          <cell r="O221">
            <v>0</v>
          </cell>
          <cell r="P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A222" t="str">
            <v>OfficeLargeCORE_MID</v>
          </cell>
          <cell r="B222" t="str">
            <v>STD2004</v>
          </cell>
          <cell r="C222" t="str">
            <v>Buffalo</v>
          </cell>
          <cell r="D222" t="str">
            <v>OfficeLarge</v>
          </cell>
          <cell r="E222" t="str">
            <v>CORE_MID</v>
          </cell>
          <cell r="F222">
            <v>2496.12</v>
          </cell>
          <cell r="G222">
            <v>10</v>
          </cell>
          <cell r="H222" t="str">
            <v>Yes</v>
          </cell>
          <cell r="I222" t="str">
            <v>VAV_MID WITH REHEAT</v>
          </cell>
          <cell r="J222">
            <v>0</v>
          </cell>
          <cell r="K222">
            <v>0</v>
          </cell>
          <cell r="L222">
            <v>11.611599999999999</v>
          </cell>
          <cell r="M222">
            <v>18.579999999999998</v>
          </cell>
          <cell r="N222">
            <v>8.0695999999999994</v>
          </cell>
          <cell r="O222">
            <v>0</v>
          </cell>
          <cell r="P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A223" t="str">
            <v>OfficeLargeCORE_TOP</v>
          </cell>
          <cell r="B223" t="str">
            <v>STD2004</v>
          </cell>
          <cell r="C223" t="str">
            <v>Buffalo</v>
          </cell>
          <cell r="D223" t="str">
            <v>OfficeLarge</v>
          </cell>
          <cell r="E223" t="str">
            <v>CORE_TOP</v>
          </cell>
          <cell r="F223">
            <v>2496.12</v>
          </cell>
          <cell r="G223">
            <v>1</v>
          </cell>
          <cell r="H223" t="str">
            <v>Yes</v>
          </cell>
          <cell r="I223" t="str">
            <v>VAV_TOP WITH REHEAT</v>
          </cell>
          <cell r="J223">
            <v>0</v>
          </cell>
          <cell r="K223">
            <v>0</v>
          </cell>
          <cell r="L223">
            <v>11.611599999999999</v>
          </cell>
          <cell r="M223">
            <v>18.579999999999998</v>
          </cell>
          <cell r="N223">
            <v>8.0695999999999994</v>
          </cell>
          <cell r="O223">
            <v>0</v>
          </cell>
          <cell r="P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A224" t="str">
            <v>OfficeLargePERIMETER_BOT_ZN_3</v>
          </cell>
          <cell r="B224" t="str">
            <v>STD2004</v>
          </cell>
          <cell r="C224" t="str">
            <v>Buffalo</v>
          </cell>
          <cell r="D224" t="str">
            <v>OfficeLarge</v>
          </cell>
          <cell r="E224" t="str">
            <v>PERIMETER_BOT_ZN_3</v>
          </cell>
          <cell r="F224">
            <v>313.41000000000003</v>
          </cell>
          <cell r="G224">
            <v>1</v>
          </cell>
          <cell r="H224" t="str">
            <v>Yes</v>
          </cell>
          <cell r="I224" t="str">
            <v>VAV_BOT WITH REHEAT</v>
          </cell>
          <cell r="J224">
            <v>200.61</v>
          </cell>
          <cell r="K224">
            <v>115.9</v>
          </cell>
          <cell r="L224">
            <v>11.611599999999999</v>
          </cell>
          <cell r="M224">
            <v>18.579999999999998</v>
          </cell>
          <cell r="N224">
            <v>8.07</v>
          </cell>
          <cell r="O224">
            <v>0</v>
          </cell>
          <cell r="P224">
            <v>0</v>
          </cell>
          <cell r="R224">
            <v>1.0252300508275299E-3</v>
          </cell>
          <cell r="S224">
            <v>0</v>
          </cell>
          <cell r="T224">
            <v>0</v>
          </cell>
        </row>
        <row r="225">
          <cell r="A225" t="str">
            <v>OfficeLargePERIMETER_BOT_ZN_2</v>
          </cell>
          <cell r="B225" t="str">
            <v>STD2004</v>
          </cell>
          <cell r="C225" t="str">
            <v>Buffalo</v>
          </cell>
          <cell r="D225" t="str">
            <v>OfficeLarge</v>
          </cell>
          <cell r="E225" t="str">
            <v>PERIMETER_BOT_ZN_2</v>
          </cell>
          <cell r="F225">
            <v>201.98</v>
          </cell>
          <cell r="G225">
            <v>1</v>
          </cell>
          <cell r="H225" t="str">
            <v>Yes</v>
          </cell>
          <cell r="I225" t="str">
            <v>VAV_BOT WITH REHEAT</v>
          </cell>
          <cell r="J225">
            <v>133.74</v>
          </cell>
          <cell r="K225">
            <v>77.260000000000005</v>
          </cell>
          <cell r="L225">
            <v>11.611599999999999</v>
          </cell>
          <cell r="M225">
            <v>18.579999999999998</v>
          </cell>
          <cell r="N225">
            <v>8.07</v>
          </cell>
          <cell r="O225">
            <v>0</v>
          </cell>
          <cell r="P225">
            <v>0</v>
          </cell>
          <cell r="R225">
            <v>1.0252300508275299E-3</v>
          </cell>
          <cell r="S225">
            <v>0</v>
          </cell>
          <cell r="T225">
            <v>0</v>
          </cell>
        </row>
        <row r="226">
          <cell r="A226" t="str">
            <v>OfficeLargePERIMETER_BOT_ZN_1</v>
          </cell>
          <cell r="B226" t="str">
            <v>STD2004</v>
          </cell>
          <cell r="C226" t="str">
            <v>Buffalo</v>
          </cell>
          <cell r="D226" t="str">
            <v>OfficeLarge</v>
          </cell>
          <cell r="E226" t="str">
            <v>PERIMETER_BOT_ZN_1</v>
          </cell>
          <cell r="F226">
            <v>313.42</v>
          </cell>
          <cell r="G226">
            <v>1</v>
          </cell>
          <cell r="H226" t="str">
            <v>Yes</v>
          </cell>
          <cell r="I226" t="str">
            <v>VAV_BOT WITH REHEAT</v>
          </cell>
          <cell r="J226">
            <v>200.61</v>
          </cell>
          <cell r="K226">
            <v>115.9</v>
          </cell>
          <cell r="L226">
            <v>11.611599999999999</v>
          </cell>
          <cell r="M226">
            <v>18.579999999999998</v>
          </cell>
          <cell r="N226">
            <v>8.0699000000000005</v>
          </cell>
          <cell r="O226">
            <v>0</v>
          </cell>
          <cell r="P226">
            <v>0</v>
          </cell>
          <cell r="R226">
            <v>1.0252300508275299E-3</v>
          </cell>
          <cell r="S226">
            <v>0</v>
          </cell>
          <cell r="T226">
            <v>0</v>
          </cell>
        </row>
        <row r="227">
          <cell r="A227" t="str">
            <v>OfficeLargePERIMETER_BOT_ZN_4</v>
          </cell>
          <cell r="B227" t="str">
            <v>STD2004</v>
          </cell>
          <cell r="C227" t="str">
            <v>Buffalo</v>
          </cell>
          <cell r="D227" t="str">
            <v>OfficeLarge</v>
          </cell>
          <cell r="E227" t="str">
            <v>PERIMETER_BOT_ZN_4</v>
          </cell>
          <cell r="F227">
            <v>201.98</v>
          </cell>
          <cell r="G227">
            <v>1</v>
          </cell>
          <cell r="H227" t="str">
            <v>Yes</v>
          </cell>
          <cell r="I227" t="str">
            <v>VAV_BOT WITH REHEAT</v>
          </cell>
          <cell r="J227">
            <v>133.74</v>
          </cell>
          <cell r="K227">
            <v>77.260000000000005</v>
          </cell>
          <cell r="L227">
            <v>11.611599999999999</v>
          </cell>
          <cell r="M227">
            <v>18.579999999999998</v>
          </cell>
          <cell r="N227">
            <v>8.0699000000000005</v>
          </cell>
          <cell r="O227">
            <v>0</v>
          </cell>
          <cell r="P227">
            <v>0</v>
          </cell>
          <cell r="R227">
            <v>1.0252300508275299E-3</v>
          </cell>
          <cell r="S227">
            <v>0</v>
          </cell>
          <cell r="T227">
            <v>0</v>
          </cell>
        </row>
        <row r="228">
          <cell r="A228" t="str">
            <v>OfficeLargePERIMETER_MID_ZN_3</v>
          </cell>
          <cell r="B228" t="str">
            <v>STD2004</v>
          </cell>
          <cell r="C228" t="str">
            <v>Buffalo</v>
          </cell>
          <cell r="D228" t="str">
            <v>OfficeLarge</v>
          </cell>
          <cell r="E228" t="str">
            <v>PERIMETER_MID_ZN_3</v>
          </cell>
          <cell r="F228">
            <v>313.41000000000003</v>
          </cell>
          <cell r="G228">
            <v>10</v>
          </cell>
          <cell r="H228" t="str">
            <v>Yes</v>
          </cell>
          <cell r="I228" t="str">
            <v>VAV_MID WITH REHEAT</v>
          </cell>
          <cell r="J228">
            <v>200.61</v>
          </cell>
          <cell r="K228">
            <v>115.9</v>
          </cell>
          <cell r="L228">
            <v>11.611599999999999</v>
          </cell>
          <cell r="M228">
            <v>18.579999999999998</v>
          </cell>
          <cell r="N228">
            <v>8.07</v>
          </cell>
          <cell r="O228">
            <v>0</v>
          </cell>
          <cell r="P228">
            <v>0</v>
          </cell>
          <cell r="R228">
            <v>1.0252300508275299E-3</v>
          </cell>
          <cell r="S228">
            <v>0</v>
          </cell>
          <cell r="T228">
            <v>0</v>
          </cell>
        </row>
        <row r="229">
          <cell r="A229" t="str">
            <v>OfficeLargePERIMETER_MID_ZN_2</v>
          </cell>
          <cell r="B229" t="str">
            <v>STD2004</v>
          </cell>
          <cell r="C229" t="str">
            <v>Buffalo</v>
          </cell>
          <cell r="D229" t="str">
            <v>OfficeLarge</v>
          </cell>
          <cell r="E229" t="str">
            <v>PERIMETER_MID_ZN_2</v>
          </cell>
          <cell r="F229">
            <v>201.98</v>
          </cell>
          <cell r="G229">
            <v>10</v>
          </cell>
          <cell r="H229" t="str">
            <v>Yes</v>
          </cell>
          <cell r="I229" t="str">
            <v>VAV_MID WITH REHEAT</v>
          </cell>
          <cell r="J229">
            <v>133.74</v>
          </cell>
          <cell r="K229">
            <v>77.260000000000005</v>
          </cell>
          <cell r="L229">
            <v>11.611599999999999</v>
          </cell>
          <cell r="M229">
            <v>18.579999999999998</v>
          </cell>
          <cell r="N229">
            <v>8.07</v>
          </cell>
          <cell r="O229">
            <v>0</v>
          </cell>
          <cell r="P229">
            <v>0</v>
          </cell>
          <cell r="R229">
            <v>1.0252300508275299E-3</v>
          </cell>
          <cell r="S229">
            <v>0</v>
          </cell>
          <cell r="T229">
            <v>0</v>
          </cell>
        </row>
        <row r="230">
          <cell r="A230" t="str">
            <v>OfficeLargePERIMETER_MID_ZN_1</v>
          </cell>
          <cell r="B230" t="str">
            <v>STD2004</v>
          </cell>
          <cell r="C230" t="str">
            <v>Buffalo</v>
          </cell>
          <cell r="D230" t="str">
            <v>OfficeLarge</v>
          </cell>
          <cell r="E230" t="str">
            <v>PERIMETER_MID_ZN_1</v>
          </cell>
          <cell r="F230">
            <v>313.42</v>
          </cell>
          <cell r="G230">
            <v>10</v>
          </cell>
          <cell r="H230" t="str">
            <v>Yes</v>
          </cell>
          <cell r="I230" t="str">
            <v>VAV_MID WITH REHEAT</v>
          </cell>
          <cell r="J230">
            <v>200.61</v>
          </cell>
          <cell r="K230">
            <v>115.9</v>
          </cell>
          <cell r="L230">
            <v>11.611599999999999</v>
          </cell>
          <cell r="M230">
            <v>18.579999999999998</v>
          </cell>
          <cell r="N230">
            <v>8.0699000000000005</v>
          </cell>
          <cell r="O230">
            <v>0</v>
          </cell>
          <cell r="P230">
            <v>0</v>
          </cell>
          <cell r="R230">
            <v>1.0252300508275299E-3</v>
          </cell>
          <cell r="S230">
            <v>0</v>
          </cell>
          <cell r="T230">
            <v>0</v>
          </cell>
        </row>
        <row r="231">
          <cell r="A231" t="str">
            <v>OfficeLargePERIMETER_MID_ZN_4</v>
          </cell>
          <cell r="B231" t="str">
            <v>STD2004</v>
          </cell>
          <cell r="C231" t="str">
            <v>Buffalo</v>
          </cell>
          <cell r="D231" t="str">
            <v>OfficeLarge</v>
          </cell>
          <cell r="E231" t="str">
            <v>PERIMETER_MID_ZN_4</v>
          </cell>
          <cell r="F231">
            <v>201.98</v>
          </cell>
          <cell r="G231">
            <v>10</v>
          </cell>
          <cell r="H231" t="str">
            <v>Yes</v>
          </cell>
          <cell r="I231" t="str">
            <v>VAV_MID WITH REHEAT</v>
          </cell>
          <cell r="J231">
            <v>133.74</v>
          </cell>
          <cell r="K231">
            <v>77.260000000000005</v>
          </cell>
          <cell r="L231">
            <v>11.611599999999999</v>
          </cell>
          <cell r="M231">
            <v>18.579999999999998</v>
          </cell>
          <cell r="N231">
            <v>8.0699000000000005</v>
          </cell>
          <cell r="O231">
            <v>0</v>
          </cell>
          <cell r="P231">
            <v>0</v>
          </cell>
          <cell r="R231">
            <v>1.0252300508275299E-3</v>
          </cell>
          <cell r="S231">
            <v>0</v>
          </cell>
          <cell r="T231">
            <v>0</v>
          </cell>
        </row>
        <row r="232">
          <cell r="A232" t="str">
            <v>OfficeLargePERIMETER_TOP_ZN_3</v>
          </cell>
          <cell r="B232" t="str">
            <v>STD2004</v>
          </cell>
          <cell r="C232" t="str">
            <v>Buffalo</v>
          </cell>
          <cell r="D232" t="str">
            <v>OfficeLarge</v>
          </cell>
          <cell r="E232" t="str">
            <v>PERIMETER_TOP_ZN_3</v>
          </cell>
          <cell r="F232">
            <v>313.41000000000003</v>
          </cell>
          <cell r="G232">
            <v>1</v>
          </cell>
          <cell r="H232" t="str">
            <v>Yes</v>
          </cell>
          <cell r="I232" t="str">
            <v>VAV_TOP WITH REHEAT</v>
          </cell>
          <cell r="J232">
            <v>200.61</v>
          </cell>
          <cell r="K232">
            <v>115.9</v>
          </cell>
          <cell r="L232">
            <v>11.611599999999999</v>
          </cell>
          <cell r="M232">
            <v>18.579999999999998</v>
          </cell>
          <cell r="N232">
            <v>8.07</v>
          </cell>
          <cell r="O232">
            <v>0</v>
          </cell>
          <cell r="P232">
            <v>0</v>
          </cell>
          <cell r="R232">
            <v>1.0252300508275299E-3</v>
          </cell>
          <cell r="S232">
            <v>0</v>
          </cell>
          <cell r="T232">
            <v>0</v>
          </cell>
        </row>
        <row r="233">
          <cell r="A233" t="str">
            <v>OfficeLargePERIMETER_TOP_ZN_2</v>
          </cell>
          <cell r="B233" t="str">
            <v>STD2004</v>
          </cell>
          <cell r="C233" t="str">
            <v>Buffalo</v>
          </cell>
          <cell r="D233" t="str">
            <v>OfficeLarge</v>
          </cell>
          <cell r="E233" t="str">
            <v>PERIMETER_TOP_ZN_2</v>
          </cell>
          <cell r="F233">
            <v>201.98</v>
          </cell>
          <cell r="G233">
            <v>1</v>
          </cell>
          <cell r="H233" t="str">
            <v>Yes</v>
          </cell>
          <cell r="I233" t="str">
            <v>VAV_TOP WITH REHEAT</v>
          </cell>
          <cell r="J233">
            <v>133.74</v>
          </cell>
          <cell r="K233">
            <v>77.260000000000005</v>
          </cell>
          <cell r="L233">
            <v>11.611599999999999</v>
          </cell>
          <cell r="M233">
            <v>18.579999999999998</v>
          </cell>
          <cell r="N233">
            <v>8.07</v>
          </cell>
          <cell r="O233">
            <v>0</v>
          </cell>
          <cell r="P233">
            <v>0</v>
          </cell>
          <cell r="R233">
            <v>1.0252300508275299E-3</v>
          </cell>
          <cell r="S233">
            <v>0</v>
          </cell>
          <cell r="T233">
            <v>0</v>
          </cell>
        </row>
        <row r="234">
          <cell r="A234" t="str">
            <v>OfficeLargePERIMETER_TOP_ZN_1</v>
          </cell>
          <cell r="B234" t="str">
            <v>STD2004</v>
          </cell>
          <cell r="C234" t="str">
            <v>Buffalo</v>
          </cell>
          <cell r="D234" t="str">
            <v>OfficeLarge</v>
          </cell>
          <cell r="E234" t="str">
            <v>PERIMETER_TOP_ZN_1</v>
          </cell>
          <cell r="F234">
            <v>313.42</v>
          </cell>
          <cell r="G234">
            <v>1</v>
          </cell>
          <cell r="H234" t="str">
            <v>Yes</v>
          </cell>
          <cell r="I234" t="str">
            <v>VAV_TOP WITH REHEAT</v>
          </cell>
          <cell r="J234">
            <v>200.61</v>
          </cell>
          <cell r="K234">
            <v>115.9</v>
          </cell>
          <cell r="L234">
            <v>11.611599999999999</v>
          </cell>
          <cell r="M234">
            <v>18.579999999999998</v>
          </cell>
          <cell r="N234">
            <v>8.0699000000000005</v>
          </cell>
          <cell r="O234">
            <v>0</v>
          </cell>
          <cell r="P234">
            <v>0</v>
          </cell>
          <cell r="R234">
            <v>1.0252300508275299E-3</v>
          </cell>
          <cell r="S234">
            <v>0</v>
          </cell>
          <cell r="T234">
            <v>0</v>
          </cell>
        </row>
        <row r="235">
          <cell r="A235" t="str">
            <v>OfficeLargePERIMETER_TOP_ZN_4</v>
          </cell>
          <cell r="B235" t="str">
            <v>STD2004</v>
          </cell>
          <cell r="C235" t="str">
            <v>Buffalo</v>
          </cell>
          <cell r="D235" t="str">
            <v>OfficeLarge</v>
          </cell>
          <cell r="E235" t="str">
            <v>PERIMETER_TOP_ZN_4</v>
          </cell>
          <cell r="F235">
            <v>201.98</v>
          </cell>
          <cell r="G235">
            <v>1</v>
          </cell>
          <cell r="H235" t="str">
            <v>Yes</v>
          </cell>
          <cell r="I235" t="str">
            <v>VAV_TOP WITH REHEAT</v>
          </cell>
          <cell r="J235">
            <v>133.74</v>
          </cell>
          <cell r="K235">
            <v>77.260000000000005</v>
          </cell>
          <cell r="L235">
            <v>11.611599999999999</v>
          </cell>
          <cell r="M235">
            <v>18.579999999999998</v>
          </cell>
          <cell r="N235">
            <v>8.0699000000000005</v>
          </cell>
          <cell r="O235">
            <v>0</v>
          </cell>
          <cell r="P235">
            <v>0</v>
          </cell>
          <cell r="R235">
            <v>1.0252300508275299E-3</v>
          </cell>
          <cell r="S235">
            <v>0</v>
          </cell>
          <cell r="T235">
            <v>0</v>
          </cell>
        </row>
        <row r="236">
          <cell r="A236" t="str">
            <v>OfficeLargeGROUNDFLOOR_PLENUM</v>
          </cell>
          <cell r="B236" t="str">
            <v>STD2004</v>
          </cell>
          <cell r="C236" t="str">
            <v>Buffalo</v>
          </cell>
          <cell r="D236" t="str">
            <v>OfficeLarge</v>
          </cell>
          <cell r="E236" t="str">
            <v>GROUNDFLOOR_PLENUM</v>
          </cell>
          <cell r="F236">
            <v>3563.11</v>
          </cell>
          <cell r="G236">
            <v>1</v>
          </cell>
          <cell r="H236" t="str">
            <v>Yes</v>
          </cell>
          <cell r="J236">
            <v>297.11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R236">
            <v>1.0252300508275299E-3</v>
          </cell>
          <cell r="S236">
            <v>0</v>
          </cell>
          <cell r="T236">
            <v>0</v>
          </cell>
        </row>
        <row r="237">
          <cell r="A237" t="str">
            <v>OfficeLargeMIDFLOOR_PLENUM</v>
          </cell>
          <cell r="B237" t="str">
            <v>STD2004</v>
          </cell>
          <cell r="C237" t="str">
            <v>Buffalo</v>
          </cell>
          <cell r="D237" t="str">
            <v>OfficeLarge</v>
          </cell>
          <cell r="E237" t="str">
            <v>MIDFLOOR_PLENUM</v>
          </cell>
          <cell r="F237">
            <v>3563.11</v>
          </cell>
          <cell r="G237">
            <v>10</v>
          </cell>
          <cell r="H237" t="str">
            <v>Yes</v>
          </cell>
          <cell r="J237">
            <v>297.11</v>
          </cell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R237">
            <v>1.0252300508275299E-3</v>
          </cell>
          <cell r="S237">
            <v>0</v>
          </cell>
          <cell r="T237">
            <v>0</v>
          </cell>
        </row>
        <row r="238">
          <cell r="A238" t="str">
            <v>OfficeLargeTOPFLOOR_PLENUM</v>
          </cell>
          <cell r="B238" t="str">
            <v>STD2004</v>
          </cell>
          <cell r="C238" t="str">
            <v>Buffalo</v>
          </cell>
          <cell r="D238" t="str">
            <v>OfficeLarge</v>
          </cell>
          <cell r="E238" t="str">
            <v>TOPFLOOR_PLENUM</v>
          </cell>
          <cell r="F238">
            <v>3563.11</v>
          </cell>
          <cell r="G238">
            <v>1</v>
          </cell>
          <cell r="H238" t="str">
            <v>Yes</v>
          </cell>
          <cell r="J238">
            <v>297.11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R238">
            <v>1.0252300508275299E-3</v>
          </cell>
          <cell r="S238">
            <v>0</v>
          </cell>
          <cell r="T238">
            <v>0</v>
          </cell>
        </row>
        <row r="239">
          <cell r="A239" t="str">
            <v>OfficeLargeDATACENTER_BOT_ZN_6</v>
          </cell>
          <cell r="B239" t="str">
            <v>STD2004</v>
          </cell>
          <cell r="C239" t="str">
            <v>Buffalo</v>
          </cell>
          <cell r="D239" t="str">
            <v>OfficeLarge</v>
          </cell>
          <cell r="E239" t="str">
            <v>DATACENTER_BOT_ZN_6</v>
          </cell>
          <cell r="F239">
            <v>36.200000000000003</v>
          </cell>
          <cell r="G239">
            <v>1</v>
          </cell>
          <cell r="H239" t="str">
            <v>Yes</v>
          </cell>
          <cell r="I239" t="str">
            <v>AIRLOOP DATACENTER BOT</v>
          </cell>
          <cell r="J239">
            <v>0</v>
          </cell>
          <cell r="K239">
            <v>0</v>
          </cell>
          <cell r="L239">
            <v>14.854200000000001</v>
          </cell>
          <cell r="M239">
            <v>18.579999999999998</v>
          </cell>
          <cell r="N239">
            <v>215.29920000000001</v>
          </cell>
          <cell r="O239">
            <v>0</v>
          </cell>
          <cell r="P239">
            <v>1.84E-2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OfficeLargeDATACENTER_MID_ZN_6</v>
          </cell>
          <cell r="B240" t="str">
            <v>STD2004</v>
          </cell>
          <cell r="C240" t="str">
            <v>Buffalo</v>
          </cell>
          <cell r="D240" t="str">
            <v>OfficeLarge</v>
          </cell>
          <cell r="E240" t="str">
            <v>DATACENTER_MID_ZN_6</v>
          </cell>
          <cell r="F240">
            <v>36.200000000000003</v>
          </cell>
          <cell r="G240">
            <v>10</v>
          </cell>
          <cell r="H240" t="str">
            <v>Yes</v>
          </cell>
          <cell r="I240" t="str">
            <v>AIRLOOP DATACENTER MID</v>
          </cell>
          <cell r="J240">
            <v>0</v>
          </cell>
          <cell r="K240">
            <v>0</v>
          </cell>
          <cell r="L240">
            <v>14.854200000000001</v>
          </cell>
          <cell r="M240">
            <v>18.579999999999998</v>
          </cell>
          <cell r="N240">
            <v>215.29920000000001</v>
          </cell>
          <cell r="O240">
            <v>0</v>
          </cell>
          <cell r="P240">
            <v>0.18390000000000001</v>
          </cell>
          <cell r="R240">
            <v>0</v>
          </cell>
          <cell r="S240">
            <v>0</v>
          </cell>
          <cell r="T240">
            <v>0</v>
          </cell>
        </row>
        <row r="241">
          <cell r="A241" t="str">
            <v>OfficeLargeDATACENTER_TOP_ZN_6</v>
          </cell>
          <cell r="B241" t="str">
            <v>STD2004</v>
          </cell>
          <cell r="C241" t="str">
            <v>Buffalo</v>
          </cell>
          <cell r="D241" t="str">
            <v>OfficeLarge</v>
          </cell>
          <cell r="E241" t="str">
            <v>DATACENTER_TOP_ZN_6</v>
          </cell>
          <cell r="F241">
            <v>36.200000000000003</v>
          </cell>
          <cell r="G241">
            <v>1</v>
          </cell>
          <cell r="H241" t="str">
            <v>Yes</v>
          </cell>
          <cell r="I241" t="str">
            <v>AIRLOOP DATACENTER TOP</v>
          </cell>
          <cell r="J241">
            <v>0</v>
          </cell>
          <cell r="K241">
            <v>0</v>
          </cell>
          <cell r="L241">
            <v>14.854200000000001</v>
          </cell>
          <cell r="M241">
            <v>18.579999999999998</v>
          </cell>
          <cell r="N241">
            <v>215.29920000000001</v>
          </cell>
          <cell r="O241">
            <v>0</v>
          </cell>
          <cell r="P241">
            <v>1.84E-2</v>
          </cell>
          <cell r="R241">
            <v>0</v>
          </cell>
          <cell r="S241">
            <v>0</v>
          </cell>
          <cell r="T241">
            <v>0</v>
          </cell>
        </row>
        <row r="242">
          <cell r="A242" t="str">
            <v>OfficeLargeDATACENTER_BASEMENT_ZN_6</v>
          </cell>
          <cell r="B242" t="str">
            <v>STD2004</v>
          </cell>
          <cell r="C242" t="str">
            <v>Buffalo</v>
          </cell>
          <cell r="D242" t="str">
            <v>OfficeLarge</v>
          </cell>
          <cell r="E242" t="str">
            <v>DATACENTER_BASEMENT_ZN_6</v>
          </cell>
          <cell r="F242">
            <v>783.68</v>
          </cell>
          <cell r="G242">
            <v>1</v>
          </cell>
          <cell r="H242" t="str">
            <v>Yes</v>
          </cell>
          <cell r="I242" t="str">
            <v>AIRLOOP DATACENTER BASEMENT</v>
          </cell>
          <cell r="J242">
            <v>0</v>
          </cell>
          <cell r="K242">
            <v>0</v>
          </cell>
          <cell r="L242">
            <v>11.611599999999999</v>
          </cell>
          <cell r="M242">
            <v>18.579999999999998</v>
          </cell>
          <cell r="N242">
            <v>484.42320000000001</v>
          </cell>
          <cell r="O242">
            <v>0</v>
          </cell>
          <cell r="P242">
            <v>0.39810000000000001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OfficeLargeTotal</v>
          </cell>
          <cell r="B243" t="str">
            <v>STD2004</v>
          </cell>
          <cell r="C243" t="str">
            <v>Buffalo</v>
          </cell>
          <cell r="D243" t="str">
            <v>OfficeLarge</v>
          </cell>
          <cell r="E243" t="str">
            <v>Total</v>
          </cell>
          <cell r="F243">
            <v>46320.38</v>
          </cell>
          <cell r="J243">
            <v>8024.24</v>
          </cell>
          <cell r="K243">
            <v>4635.8</v>
          </cell>
          <cell r="L243">
            <v>11.641999999999999</v>
          </cell>
          <cell r="M243">
            <v>18.579999999999998</v>
          </cell>
          <cell r="N243">
            <v>17.878900000000002</v>
          </cell>
          <cell r="O243">
            <v>0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OfficeLargeConditioned Total</v>
          </cell>
          <cell r="B244" t="str">
            <v>STD2004</v>
          </cell>
          <cell r="C244" t="str">
            <v>Buffalo</v>
          </cell>
          <cell r="D244" t="str">
            <v>OfficeLarge</v>
          </cell>
          <cell r="E244" t="str">
            <v>Conditioned Total</v>
          </cell>
          <cell r="F244">
            <v>46320.38</v>
          </cell>
          <cell r="J244">
            <v>8024.24</v>
          </cell>
          <cell r="K244">
            <v>4635.8</v>
          </cell>
          <cell r="L244">
            <v>11.641999999999999</v>
          </cell>
          <cell r="M244">
            <v>18.579999999999998</v>
          </cell>
          <cell r="N244">
            <v>17.878900000000002</v>
          </cell>
          <cell r="O244">
            <v>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OfficeLargeUnconditioned Total</v>
          </cell>
          <cell r="B245" t="str">
            <v>STD2004</v>
          </cell>
          <cell r="C245" t="str">
            <v>Buffalo</v>
          </cell>
          <cell r="D245" t="str">
            <v>OfficeLarge</v>
          </cell>
          <cell r="E245" t="str">
            <v>Unconditioned Total</v>
          </cell>
          <cell r="F245">
            <v>0</v>
          </cell>
          <cell r="J245">
            <v>0</v>
          </cell>
          <cell r="K245">
            <v>0</v>
          </cell>
          <cell r="O245">
            <v>0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OfficeLargeNot Part of Total</v>
          </cell>
          <cell r="B246" t="str">
            <v>STD2004</v>
          </cell>
          <cell r="C246" t="str">
            <v>Buffalo</v>
          </cell>
          <cell r="D246" t="str">
            <v>OfficeLarge</v>
          </cell>
          <cell r="E246" t="str">
            <v>Not Part of Total</v>
          </cell>
          <cell r="F246">
            <v>42757.27</v>
          </cell>
          <cell r="J246">
            <v>3565.29</v>
          </cell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R246">
            <v>0</v>
          </cell>
          <cell r="S246">
            <v>0</v>
          </cell>
          <cell r="T246">
            <v>0</v>
          </cell>
        </row>
        <row r="247">
          <cell r="A247" t="str">
            <v>OfficeMediumCORE_BOTTOM</v>
          </cell>
          <cell r="B247" t="str">
            <v>STD2004</v>
          </cell>
          <cell r="C247" t="str">
            <v>Buffalo</v>
          </cell>
          <cell r="D247" t="str">
            <v>OfficeMedium</v>
          </cell>
          <cell r="E247" t="str">
            <v>CORE_BOTTOM</v>
          </cell>
          <cell r="F247">
            <v>983.54</v>
          </cell>
          <cell r="G247">
            <v>1</v>
          </cell>
          <cell r="H247" t="str">
            <v>Yes</v>
          </cell>
          <cell r="I247" t="str">
            <v>PACU_VAV_BOT</v>
          </cell>
          <cell r="J247">
            <v>0</v>
          </cell>
          <cell r="K247">
            <v>0</v>
          </cell>
          <cell r="L247">
            <v>11.0267</v>
          </cell>
          <cell r="M247">
            <v>18.579999999999998</v>
          </cell>
          <cell r="N247">
            <v>25.0366</v>
          </cell>
          <cell r="O247">
            <v>0</v>
          </cell>
          <cell r="P247">
            <v>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OfficeMediumTOPFLOOR_PLENUM</v>
          </cell>
          <cell r="B248" t="str">
            <v>STD2004</v>
          </cell>
          <cell r="C248" t="str">
            <v>Buffalo</v>
          </cell>
          <cell r="D248" t="str">
            <v>OfficeMedium</v>
          </cell>
          <cell r="E248" t="str">
            <v>TOPFLOOR_PLENUM</v>
          </cell>
          <cell r="F248">
            <v>1660.73</v>
          </cell>
          <cell r="G248">
            <v>1</v>
          </cell>
          <cell r="H248" t="str">
            <v>Yes</v>
          </cell>
          <cell r="J248">
            <v>202.84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R248">
            <v>1.0252300508275299E-3</v>
          </cell>
          <cell r="S248">
            <v>0</v>
          </cell>
          <cell r="T248">
            <v>0</v>
          </cell>
        </row>
        <row r="249">
          <cell r="A249" t="str">
            <v>OfficeMediumMIDFLOOR_PLENUM</v>
          </cell>
          <cell r="B249" t="str">
            <v>STD2004</v>
          </cell>
          <cell r="C249" t="str">
            <v>Buffalo</v>
          </cell>
          <cell r="D249" t="str">
            <v>OfficeMedium</v>
          </cell>
          <cell r="E249" t="str">
            <v>MIDFLOOR_PLENUM</v>
          </cell>
          <cell r="F249">
            <v>1660.73</v>
          </cell>
          <cell r="G249">
            <v>1</v>
          </cell>
          <cell r="H249" t="str">
            <v>Yes</v>
          </cell>
          <cell r="J249">
            <v>202.84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R249">
            <v>1.0252300508275299E-3</v>
          </cell>
          <cell r="S249">
            <v>0</v>
          </cell>
          <cell r="T249">
            <v>0</v>
          </cell>
        </row>
        <row r="250">
          <cell r="A250" t="str">
            <v>OfficeMediumFIRSTFLOOR_PLENUM</v>
          </cell>
          <cell r="B250" t="str">
            <v>STD2004</v>
          </cell>
          <cell r="C250" t="str">
            <v>Buffalo</v>
          </cell>
          <cell r="D250" t="str">
            <v>OfficeMedium</v>
          </cell>
          <cell r="E250" t="str">
            <v>FIRSTFLOOR_PLENUM</v>
          </cell>
          <cell r="F250">
            <v>1660.73</v>
          </cell>
          <cell r="G250">
            <v>1</v>
          </cell>
          <cell r="H250" t="str">
            <v>Yes</v>
          </cell>
          <cell r="J250">
            <v>202.84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R250">
            <v>1.0252300508275299E-3</v>
          </cell>
          <cell r="S250">
            <v>0</v>
          </cell>
          <cell r="T250">
            <v>0</v>
          </cell>
        </row>
        <row r="251">
          <cell r="A251" t="str">
            <v>OfficeMediumCORE_MID</v>
          </cell>
          <cell r="B251" t="str">
            <v>STD2004</v>
          </cell>
          <cell r="C251" t="str">
            <v>Buffalo</v>
          </cell>
          <cell r="D251" t="str">
            <v>OfficeMedium</v>
          </cell>
          <cell r="E251" t="str">
            <v>CORE_MID</v>
          </cell>
          <cell r="F251">
            <v>983.54</v>
          </cell>
          <cell r="G251">
            <v>1</v>
          </cell>
          <cell r="H251" t="str">
            <v>Yes</v>
          </cell>
          <cell r="I251" t="str">
            <v>PACU_VAV_MID</v>
          </cell>
          <cell r="J251">
            <v>0</v>
          </cell>
          <cell r="K251">
            <v>0</v>
          </cell>
          <cell r="L251">
            <v>11.0267</v>
          </cell>
          <cell r="M251">
            <v>18.579999999999998</v>
          </cell>
          <cell r="N251">
            <v>8.07</v>
          </cell>
          <cell r="O251">
            <v>0</v>
          </cell>
          <cell r="P251">
            <v>0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OfficeMediumCORE_TOP</v>
          </cell>
          <cell r="B252" t="str">
            <v>STD2004</v>
          </cell>
          <cell r="C252" t="str">
            <v>Buffalo</v>
          </cell>
          <cell r="D252" t="str">
            <v>OfficeMedium</v>
          </cell>
          <cell r="E252" t="str">
            <v>CORE_TOP</v>
          </cell>
          <cell r="F252">
            <v>983.54</v>
          </cell>
          <cell r="G252">
            <v>1</v>
          </cell>
          <cell r="H252" t="str">
            <v>Yes</v>
          </cell>
          <cell r="I252" t="str">
            <v>PACU_VAV_TOP</v>
          </cell>
          <cell r="J252">
            <v>0</v>
          </cell>
          <cell r="K252">
            <v>0</v>
          </cell>
          <cell r="L252">
            <v>11.0267</v>
          </cell>
          <cell r="M252">
            <v>18.579999999999998</v>
          </cell>
          <cell r="N252">
            <v>8.07</v>
          </cell>
          <cell r="O252">
            <v>0</v>
          </cell>
          <cell r="P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A253" t="str">
            <v>OfficeMediumPERIMETER_TOP_ZN_3</v>
          </cell>
          <cell r="B253" t="str">
            <v>STD2004</v>
          </cell>
          <cell r="C253" t="str">
            <v>Buffalo</v>
          </cell>
          <cell r="D253" t="str">
            <v>OfficeMedium</v>
          </cell>
          <cell r="E253" t="str">
            <v>PERIMETER_TOP_ZN_3</v>
          </cell>
          <cell r="F253">
            <v>207.34</v>
          </cell>
          <cell r="G253">
            <v>1</v>
          </cell>
          <cell r="H253" t="str">
            <v>Yes</v>
          </cell>
          <cell r="I253" t="str">
            <v>PACU_VAV_TOP</v>
          </cell>
          <cell r="J253">
            <v>136.91999999999999</v>
          </cell>
          <cell r="K253">
            <v>65.260000000000005</v>
          </cell>
          <cell r="L253">
            <v>11.0267</v>
          </cell>
          <cell r="M253">
            <v>18.579999999999998</v>
          </cell>
          <cell r="N253">
            <v>8.07</v>
          </cell>
          <cell r="O253">
            <v>0</v>
          </cell>
          <cell r="P253">
            <v>0</v>
          </cell>
          <cell r="R253">
            <v>1.0252300508275299E-3</v>
          </cell>
          <cell r="S253">
            <v>0</v>
          </cell>
          <cell r="T253">
            <v>0</v>
          </cell>
        </row>
        <row r="254">
          <cell r="A254" t="str">
            <v>OfficeMediumPERIMETER_TOP_ZN_2</v>
          </cell>
          <cell r="B254" t="str">
            <v>STD2004</v>
          </cell>
          <cell r="C254" t="str">
            <v>Buffalo</v>
          </cell>
          <cell r="D254" t="str">
            <v>OfficeMedium</v>
          </cell>
          <cell r="E254" t="str">
            <v>PERIMETER_TOP_ZN_2</v>
          </cell>
          <cell r="F254">
            <v>131.26</v>
          </cell>
          <cell r="G254">
            <v>1</v>
          </cell>
          <cell r="H254" t="str">
            <v>Yes</v>
          </cell>
          <cell r="I254" t="str">
            <v>PACU_VAV_TOP</v>
          </cell>
          <cell r="J254">
            <v>91.28</v>
          </cell>
          <cell r="K254">
            <v>43.51</v>
          </cell>
          <cell r="L254">
            <v>11.0267</v>
          </cell>
          <cell r="M254">
            <v>18.579999999999998</v>
          </cell>
          <cell r="N254">
            <v>8.0694999999999997</v>
          </cell>
          <cell r="O254">
            <v>0</v>
          </cell>
          <cell r="P254">
            <v>0</v>
          </cell>
          <cell r="R254">
            <v>1.0252300508275299E-3</v>
          </cell>
          <cell r="S254">
            <v>0</v>
          </cell>
          <cell r="T254">
            <v>0</v>
          </cell>
        </row>
        <row r="255">
          <cell r="A255" t="str">
            <v>OfficeMediumPERIMETER_TOP_ZN_1</v>
          </cell>
          <cell r="B255" t="str">
            <v>STD2004</v>
          </cell>
          <cell r="C255" t="str">
            <v>Buffalo</v>
          </cell>
          <cell r="D255" t="str">
            <v>OfficeMedium</v>
          </cell>
          <cell r="E255" t="str">
            <v>PERIMETER_TOP_ZN_1</v>
          </cell>
          <cell r="F255">
            <v>207.34</v>
          </cell>
          <cell r="G255">
            <v>1</v>
          </cell>
          <cell r="H255" t="str">
            <v>Yes</v>
          </cell>
          <cell r="I255" t="str">
            <v>PACU_VAV_TOP</v>
          </cell>
          <cell r="J255">
            <v>136.91999999999999</v>
          </cell>
          <cell r="K255">
            <v>65.260000000000005</v>
          </cell>
          <cell r="L255">
            <v>11.0267</v>
          </cell>
          <cell r="M255">
            <v>18.579999999999998</v>
          </cell>
          <cell r="N255">
            <v>8.0699000000000005</v>
          </cell>
          <cell r="O255">
            <v>0</v>
          </cell>
          <cell r="P255">
            <v>0</v>
          </cell>
          <cell r="R255">
            <v>1.0252300508275299E-3</v>
          </cell>
          <cell r="S255">
            <v>0</v>
          </cell>
          <cell r="T255">
            <v>0</v>
          </cell>
        </row>
        <row r="256">
          <cell r="A256" t="str">
            <v>OfficeMediumPERIMETER_TOP_ZN_4</v>
          </cell>
          <cell r="B256" t="str">
            <v>STD2004</v>
          </cell>
          <cell r="C256" t="str">
            <v>Buffalo</v>
          </cell>
          <cell r="D256" t="str">
            <v>OfficeMedium</v>
          </cell>
          <cell r="E256" t="str">
            <v>PERIMETER_TOP_ZN_4</v>
          </cell>
          <cell r="F256">
            <v>131.25</v>
          </cell>
          <cell r="G256">
            <v>1</v>
          </cell>
          <cell r="H256" t="str">
            <v>Yes</v>
          </cell>
          <cell r="I256" t="str">
            <v>PACU_VAV_TOP</v>
          </cell>
          <cell r="J256">
            <v>91.28</v>
          </cell>
          <cell r="K256">
            <v>43.51</v>
          </cell>
          <cell r="L256">
            <v>11.0267</v>
          </cell>
          <cell r="M256">
            <v>18.579999999999998</v>
          </cell>
          <cell r="N256">
            <v>8.07</v>
          </cell>
          <cell r="O256">
            <v>0</v>
          </cell>
          <cell r="P256">
            <v>0</v>
          </cell>
          <cell r="R256">
            <v>1.0252300508275299E-3</v>
          </cell>
          <cell r="S256">
            <v>0</v>
          </cell>
          <cell r="T256">
            <v>0</v>
          </cell>
        </row>
        <row r="257">
          <cell r="A257" t="str">
            <v>OfficeMediumPERIMETER_BOT_ZN_3</v>
          </cell>
          <cell r="B257" t="str">
            <v>STD2004</v>
          </cell>
          <cell r="C257" t="str">
            <v>Buffalo</v>
          </cell>
          <cell r="D257" t="str">
            <v>OfficeMedium</v>
          </cell>
          <cell r="E257" t="str">
            <v>PERIMETER_BOT_ZN_3</v>
          </cell>
          <cell r="F257">
            <v>207.34</v>
          </cell>
          <cell r="G257">
            <v>1</v>
          </cell>
          <cell r="H257" t="str">
            <v>Yes</v>
          </cell>
          <cell r="I257" t="str">
            <v>PACU_VAV_BOT</v>
          </cell>
          <cell r="J257">
            <v>136.91999999999999</v>
          </cell>
          <cell r="K257">
            <v>65.260000000000005</v>
          </cell>
          <cell r="L257">
            <v>11.0267</v>
          </cell>
          <cell r="M257">
            <v>18.579999999999998</v>
          </cell>
          <cell r="N257">
            <v>8.07</v>
          </cell>
          <cell r="O257">
            <v>0</v>
          </cell>
          <cell r="P257">
            <v>0</v>
          </cell>
          <cell r="R257">
            <v>1.0252300508275299E-3</v>
          </cell>
          <cell r="S257">
            <v>0</v>
          </cell>
          <cell r="T257">
            <v>0</v>
          </cell>
        </row>
        <row r="258">
          <cell r="A258" t="str">
            <v>OfficeMediumPERIMETER_BOT_ZN_2</v>
          </cell>
          <cell r="B258" t="str">
            <v>STD2004</v>
          </cell>
          <cell r="C258" t="str">
            <v>Buffalo</v>
          </cell>
          <cell r="D258" t="str">
            <v>OfficeMedium</v>
          </cell>
          <cell r="E258" t="str">
            <v>PERIMETER_BOT_ZN_2</v>
          </cell>
          <cell r="F258">
            <v>131.26</v>
          </cell>
          <cell r="G258">
            <v>1</v>
          </cell>
          <cell r="H258" t="str">
            <v>Yes</v>
          </cell>
          <cell r="I258" t="str">
            <v>PACU_VAV_BOT</v>
          </cell>
          <cell r="J258">
            <v>91.28</v>
          </cell>
          <cell r="K258">
            <v>43.51</v>
          </cell>
          <cell r="L258">
            <v>11.0267</v>
          </cell>
          <cell r="M258">
            <v>18.579999999999998</v>
          </cell>
          <cell r="N258">
            <v>8.0694999999999997</v>
          </cell>
          <cell r="O258">
            <v>0</v>
          </cell>
          <cell r="P258">
            <v>0</v>
          </cell>
          <cell r="R258">
            <v>1.0252300508275299E-3</v>
          </cell>
          <cell r="S258">
            <v>0</v>
          </cell>
          <cell r="T258">
            <v>0</v>
          </cell>
        </row>
        <row r="259">
          <cell r="A259" t="str">
            <v>OfficeMediumPERIMETER_BOT_ZN_1</v>
          </cell>
          <cell r="B259" t="str">
            <v>STD2004</v>
          </cell>
          <cell r="C259" t="str">
            <v>Buffalo</v>
          </cell>
          <cell r="D259" t="str">
            <v>OfficeMedium</v>
          </cell>
          <cell r="E259" t="str">
            <v>PERIMETER_BOT_ZN_1</v>
          </cell>
          <cell r="F259">
            <v>207.34</v>
          </cell>
          <cell r="G259">
            <v>1</v>
          </cell>
          <cell r="H259" t="str">
            <v>Yes</v>
          </cell>
          <cell r="I259" t="str">
            <v>PACU_VAV_BOT</v>
          </cell>
          <cell r="J259">
            <v>136.91999999999999</v>
          </cell>
          <cell r="K259">
            <v>65.260000000000005</v>
          </cell>
          <cell r="L259">
            <v>11.0267</v>
          </cell>
          <cell r="M259">
            <v>18.579999999999998</v>
          </cell>
          <cell r="N259">
            <v>8.0699000000000005</v>
          </cell>
          <cell r="O259">
            <v>0</v>
          </cell>
          <cell r="P259">
            <v>0</v>
          </cell>
          <cell r="R259">
            <v>1.0252300508275299E-3</v>
          </cell>
          <cell r="S259">
            <v>0</v>
          </cell>
          <cell r="T259">
            <v>1.04300287</v>
          </cell>
        </row>
        <row r="260">
          <cell r="A260" t="str">
            <v>OfficeMediumPERIMETER_BOT_ZN_4</v>
          </cell>
          <cell r="B260" t="str">
            <v>STD2004</v>
          </cell>
          <cell r="C260" t="str">
            <v>Buffalo</v>
          </cell>
          <cell r="D260" t="str">
            <v>OfficeMedium</v>
          </cell>
          <cell r="E260" t="str">
            <v>PERIMETER_BOT_ZN_4</v>
          </cell>
          <cell r="F260">
            <v>131.25</v>
          </cell>
          <cell r="G260">
            <v>1</v>
          </cell>
          <cell r="H260" t="str">
            <v>Yes</v>
          </cell>
          <cell r="I260" t="str">
            <v>PACU_VAV_BOT</v>
          </cell>
          <cell r="J260">
            <v>91.28</v>
          </cell>
          <cell r="K260">
            <v>43.51</v>
          </cell>
          <cell r="L260">
            <v>11.0267</v>
          </cell>
          <cell r="M260">
            <v>18.579999999999998</v>
          </cell>
          <cell r="N260">
            <v>8.07</v>
          </cell>
          <cell r="O260">
            <v>0</v>
          </cell>
          <cell r="P260">
            <v>0</v>
          </cell>
          <cell r="R260">
            <v>1.0252300508275299E-3</v>
          </cell>
          <cell r="S260">
            <v>0</v>
          </cell>
          <cell r="T260">
            <v>0</v>
          </cell>
        </row>
        <row r="261">
          <cell r="A261" t="str">
            <v>OfficeMediumPERIMETER_MID_ZN_3</v>
          </cell>
          <cell r="B261" t="str">
            <v>STD2004</v>
          </cell>
          <cell r="C261" t="str">
            <v>Buffalo</v>
          </cell>
          <cell r="D261" t="str">
            <v>OfficeMedium</v>
          </cell>
          <cell r="E261" t="str">
            <v>PERIMETER_MID_ZN_3</v>
          </cell>
          <cell r="F261">
            <v>207.34</v>
          </cell>
          <cell r="G261">
            <v>1</v>
          </cell>
          <cell r="H261" t="str">
            <v>Yes</v>
          </cell>
          <cell r="I261" t="str">
            <v>PACU_VAV_MID</v>
          </cell>
          <cell r="J261">
            <v>136.91999999999999</v>
          </cell>
          <cell r="K261">
            <v>65.260000000000005</v>
          </cell>
          <cell r="L261">
            <v>11.0267</v>
          </cell>
          <cell r="M261">
            <v>18.579999999999998</v>
          </cell>
          <cell r="N261">
            <v>8.07</v>
          </cell>
          <cell r="O261">
            <v>0</v>
          </cell>
          <cell r="P261">
            <v>0</v>
          </cell>
          <cell r="R261">
            <v>1.0252300508275299E-3</v>
          </cell>
          <cell r="S261">
            <v>0</v>
          </cell>
          <cell r="T261">
            <v>0</v>
          </cell>
        </row>
        <row r="262">
          <cell r="A262" t="str">
            <v>OfficeMediumPERIMETER_MID_ZN_2</v>
          </cell>
          <cell r="B262" t="str">
            <v>STD2004</v>
          </cell>
          <cell r="C262" t="str">
            <v>Buffalo</v>
          </cell>
          <cell r="D262" t="str">
            <v>OfficeMedium</v>
          </cell>
          <cell r="E262" t="str">
            <v>PERIMETER_MID_ZN_2</v>
          </cell>
          <cell r="F262">
            <v>131.26</v>
          </cell>
          <cell r="G262">
            <v>1</v>
          </cell>
          <cell r="H262" t="str">
            <v>Yes</v>
          </cell>
          <cell r="I262" t="str">
            <v>PACU_VAV_MID</v>
          </cell>
          <cell r="J262">
            <v>91.28</v>
          </cell>
          <cell r="K262">
            <v>43.51</v>
          </cell>
          <cell r="L262">
            <v>11.0267</v>
          </cell>
          <cell r="M262">
            <v>18.579999999999998</v>
          </cell>
          <cell r="N262">
            <v>8.0694999999999997</v>
          </cell>
          <cell r="O262">
            <v>0</v>
          </cell>
          <cell r="P262">
            <v>0</v>
          </cell>
          <cell r="R262">
            <v>1.0252300508275299E-3</v>
          </cell>
          <cell r="S262">
            <v>0</v>
          </cell>
          <cell r="T262">
            <v>0</v>
          </cell>
        </row>
        <row r="263">
          <cell r="A263" t="str">
            <v>OfficeMediumPERIMETER_MID_ZN_1</v>
          </cell>
          <cell r="B263" t="str">
            <v>STD2004</v>
          </cell>
          <cell r="C263" t="str">
            <v>Buffalo</v>
          </cell>
          <cell r="D263" t="str">
            <v>OfficeMedium</v>
          </cell>
          <cell r="E263" t="str">
            <v>PERIMETER_MID_ZN_1</v>
          </cell>
          <cell r="F263">
            <v>207.34</v>
          </cell>
          <cell r="G263">
            <v>1</v>
          </cell>
          <cell r="H263" t="str">
            <v>Yes</v>
          </cell>
          <cell r="I263" t="str">
            <v>PACU_VAV_MID</v>
          </cell>
          <cell r="J263">
            <v>136.91999999999999</v>
          </cell>
          <cell r="K263">
            <v>65.260000000000005</v>
          </cell>
          <cell r="L263">
            <v>11.0267</v>
          </cell>
          <cell r="M263">
            <v>18.579999999999998</v>
          </cell>
          <cell r="N263">
            <v>8.0699000000000005</v>
          </cell>
          <cell r="O263">
            <v>0</v>
          </cell>
          <cell r="P263">
            <v>0</v>
          </cell>
          <cell r="R263">
            <v>1.0252300508275299E-3</v>
          </cell>
          <cell r="S263">
            <v>0</v>
          </cell>
          <cell r="T263">
            <v>0</v>
          </cell>
        </row>
        <row r="264">
          <cell r="A264" t="str">
            <v>OfficeMediumPERIMETER_MID_ZN_4</v>
          </cell>
          <cell r="B264" t="str">
            <v>STD2004</v>
          </cell>
          <cell r="C264" t="str">
            <v>Buffalo</v>
          </cell>
          <cell r="D264" t="str">
            <v>OfficeMedium</v>
          </cell>
          <cell r="E264" t="str">
            <v>PERIMETER_MID_ZN_4</v>
          </cell>
          <cell r="F264">
            <v>131.25</v>
          </cell>
          <cell r="G264">
            <v>1</v>
          </cell>
          <cell r="H264" t="str">
            <v>Yes</v>
          </cell>
          <cell r="I264" t="str">
            <v>PACU_VAV_MID</v>
          </cell>
          <cell r="J264">
            <v>91.28</v>
          </cell>
          <cell r="K264">
            <v>43.51</v>
          </cell>
          <cell r="L264">
            <v>11.0267</v>
          </cell>
          <cell r="M264">
            <v>18.579999999999998</v>
          </cell>
          <cell r="N264">
            <v>8.07</v>
          </cell>
          <cell r="O264">
            <v>0</v>
          </cell>
          <cell r="P264">
            <v>0</v>
          </cell>
          <cell r="R264">
            <v>1.0252300508275299E-3</v>
          </cell>
          <cell r="S264">
            <v>0</v>
          </cell>
          <cell r="T264">
            <v>0</v>
          </cell>
        </row>
        <row r="265">
          <cell r="A265" t="str">
            <v>OfficeMediumTotal</v>
          </cell>
          <cell r="B265" t="str">
            <v>STD2004</v>
          </cell>
          <cell r="C265" t="str">
            <v>Buffalo</v>
          </cell>
          <cell r="D265" t="str">
            <v>OfficeMedium</v>
          </cell>
          <cell r="E265" t="str">
            <v>Total</v>
          </cell>
          <cell r="F265">
            <v>4982.1899999999996</v>
          </cell>
          <cell r="J265">
            <v>1369.16</v>
          </cell>
          <cell r="K265">
            <v>652.62</v>
          </cell>
          <cell r="L265">
            <v>11.0267</v>
          </cell>
          <cell r="M265">
            <v>18.579999999999998</v>
          </cell>
          <cell r="N265">
            <v>11.4193</v>
          </cell>
          <cell r="O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OfficeMediumConditioned Total</v>
          </cell>
          <cell r="B266" t="str">
            <v>STD2004</v>
          </cell>
          <cell r="C266" t="str">
            <v>Buffalo</v>
          </cell>
          <cell r="D266" t="str">
            <v>OfficeMedium</v>
          </cell>
          <cell r="E266" t="str">
            <v>Conditioned Total</v>
          </cell>
          <cell r="F266">
            <v>4982.1899999999996</v>
          </cell>
          <cell r="J266">
            <v>1369.16</v>
          </cell>
          <cell r="K266">
            <v>652.62</v>
          </cell>
          <cell r="L266">
            <v>11.0267</v>
          </cell>
          <cell r="M266">
            <v>18.579999999999998</v>
          </cell>
          <cell r="N266">
            <v>11.4193</v>
          </cell>
          <cell r="O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OfficeMediumUnconditioned Total</v>
          </cell>
          <cell r="B267" t="str">
            <v>STD2004</v>
          </cell>
          <cell r="C267" t="str">
            <v>Buffalo</v>
          </cell>
          <cell r="D267" t="str">
            <v>OfficeMedium</v>
          </cell>
          <cell r="E267" t="str">
            <v>Unconditioned Total</v>
          </cell>
          <cell r="F267">
            <v>0</v>
          </cell>
          <cell r="J267">
            <v>0</v>
          </cell>
          <cell r="K267">
            <v>0</v>
          </cell>
          <cell r="O267">
            <v>0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OfficeMediumNot Part of Total</v>
          </cell>
          <cell r="B268" t="str">
            <v>STD2004</v>
          </cell>
          <cell r="C268" t="str">
            <v>Buffalo</v>
          </cell>
          <cell r="D268" t="str">
            <v>OfficeMedium</v>
          </cell>
          <cell r="E268" t="str">
            <v>Not Part of Total</v>
          </cell>
          <cell r="F268">
            <v>4982.1899999999996</v>
          </cell>
          <cell r="J268">
            <v>608.51</v>
          </cell>
          <cell r="K268">
            <v>0</v>
          </cell>
          <cell r="L268">
            <v>0</v>
          </cell>
          <cell r="N268">
            <v>0</v>
          </cell>
          <cell r="O268">
            <v>0</v>
          </cell>
          <cell r="R268">
            <v>0</v>
          </cell>
          <cell r="S268">
            <v>0</v>
          </cell>
          <cell r="T268">
            <v>0</v>
          </cell>
        </row>
        <row r="269">
          <cell r="A269" t="str">
            <v>OfficeSmallCORE_ZN</v>
          </cell>
          <cell r="B269" t="str">
            <v>STD2004</v>
          </cell>
          <cell r="C269" t="str">
            <v>Buffalo</v>
          </cell>
          <cell r="D269" t="str">
            <v>OfficeSmall</v>
          </cell>
          <cell r="E269" t="str">
            <v>CORE_ZN</v>
          </cell>
          <cell r="F269">
            <v>149.66</v>
          </cell>
          <cell r="G269">
            <v>1</v>
          </cell>
          <cell r="H269" t="str">
            <v>Yes</v>
          </cell>
          <cell r="I269" t="str">
            <v>PSZ-AC:1</v>
          </cell>
          <cell r="J269">
            <v>0</v>
          </cell>
          <cell r="K269">
            <v>0</v>
          </cell>
          <cell r="L269">
            <v>10.6713</v>
          </cell>
          <cell r="M269">
            <v>18.579999999999998</v>
          </cell>
          <cell r="N269">
            <v>6.78</v>
          </cell>
          <cell r="O269">
            <v>0</v>
          </cell>
          <cell r="P269">
            <v>7.5999999999999998E-2</v>
          </cell>
          <cell r="R269">
            <v>0</v>
          </cell>
          <cell r="S269">
            <v>0</v>
          </cell>
          <cell r="T269">
            <v>0</v>
          </cell>
        </row>
        <row r="270">
          <cell r="A270" t="str">
            <v>OfficeSmallPERIMETER_ZN_1</v>
          </cell>
          <cell r="B270" t="str">
            <v>STD2004</v>
          </cell>
          <cell r="C270" t="str">
            <v>Buffalo</v>
          </cell>
          <cell r="D270" t="str">
            <v>OfficeSmall</v>
          </cell>
          <cell r="E270" t="str">
            <v>PERIMETER_ZN_1</v>
          </cell>
          <cell r="F270">
            <v>113.45</v>
          </cell>
          <cell r="G270">
            <v>1</v>
          </cell>
          <cell r="H270" t="str">
            <v>Yes</v>
          </cell>
          <cell r="I270" t="str">
            <v>PSZ-AC:2</v>
          </cell>
          <cell r="J270">
            <v>84.45</v>
          </cell>
          <cell r="K270">
            <v>20.63</v>
          </cell>
          <cell r="L270">
            <v>10.6713</v>
          </cell>
          <cell r="M270">
            <v>18.579999999999998</v>
          </cell>
          <cell r="N270">
            <v>6.78</v>
          </cell>
          <cell r="O270">
            <v>0</v>
          </cell>
          <cell r="P270">
            <v>5.7599999999999998E-2</v>
          </cell>
          <cell r="R270">
            <v>1.0252300508275299E-3</v>
          </cell>
          <cell r="S270">
            <v>0</v>
          </cell>
          <cell r="T270">
            <v>0.12978542500000001</v>
          </cell>
        </row>
        <row r="271">
          <cell r="A271" t="str">
            <v>OfficeSmallPERIMETER_ZN_2</v>
          </cell>
          <cell r="B271" t="str">
            <v>STD2004</v>
          </cell>
          <cell r="C271" t="str">
            <v>Buffalo</v>
          </cell>
          <cell r="D271" t="str">
            <v>OfficeSmall</v>
          </cell>
          <cell r="E271" t="str">
            <v>PERIMETER_ZN_2</v>
          </cell>
          <cell r="F271">
            <v>67.3</v>
          </cell>
          <cell r="G271">
            <v>1</v>
          </cell>
          <cell r="H271" t="str">
            <v>Yes</v>
          </cell>
          <cell r="I271" t="str">
            <v>PSZ-AC:3</v>
          </cell>
          <cell r="J271">
            <v>56.3</v>
          </cell>
          <cell r="K271">
            <v>11.15</v>
          </cell>
          <cell r="L271">
            <v>10.6713</v>
          </cell>
          <cell r="M271">
            <v>18.579999999999998</v>
          </cell>
          <cell r="N271">
            <v>6.78</v>
          </cell>
          <cell r="O271">
            <v>0</v>
          </cell>
          <cell r="P271">
            <v>3.4200000000000001E-2</v>
          </cell>
          <cell r="R271">
            <v>1.0252300508275299E-3</v>
          </cell>
          <cell r="S271">
            <v>0</v>
          </cell>
          <cell r="T271">
            <v>0</v>
          </cell>
        </row>
        <row r="272">
          <cell r="A272" t="str">
            <v>OfficeSmallPERIMETER_ZN_3</v>
          </cell>
          <cell r="B272" t="str">
            <v>STD2004</v>
          </cell>
          <cell r="C272" t="str">
            <v>Buffalo</v>
          </cell>
          <cell r="D272" t="str">
            <v>OfficeSmall</v>
          </cell>
          <cell r="E272" t="str">
            <v>PERIMETER_ZN_3</v>
          </cell>
          <cell r="F272">
            <v>113.45</v>
          </cell>
          <cell r="G272">
            <v>1</v>
          </cell>
          <cell r="H272" t="str">
            <v>Yes</v>
          </cell>
          <cell r="I272" t="str">
            <v>PSZ-AC:4</v>
          </cell>
          <cell r="J272">
            <v>84.45</v>
          </cell>
          <cell r="K272">
            <v>16.72</v>
          </cell>
          <cell r="L272">
            <v>10.6713</v>
          </cell>
          <cell r="M272">
            <v>18.579999999999998</v>
          </cell>
          <cell r="N272">
            <v>6.78</v>
          </cell>
          <cell r="O272">
            <v>0</v>
          </cell>
          <cell r="P272">
            <v>5.7599999999999998E-2</v>
          </cell>
          <cell r="R272">
            <v>1.0252300508275299E-3</v>
          </cell>
          <cell r="S272">
            <v>0</v>
          </cell>
          <cell r="T272">
            <v>0</v>
          </cell>
        </row>
        <row r="273">
          <cell r="A273" t="str">
            <v>OfficeSmallPERIMETER_ZN_4</v>
          </cell>
          <cell r="B273" t="str">
            <v>STD2004</v>
          </cell>
          <cell r="C273" t="str">
            <v>Buffalo</v>
          </cell>
          <cell r="D273" t="str">
            <v>OfficeSmall</v>
          </cell>
          <cell r="E273" t="str">
            <v>PERIMETER_ZN_4</v>
          </cell>
          <cell r="F273">
            <v>67.3</v>
          </cell>
          <cell r="G273">
            <v>1</v>
          </cell>
          <cell r="H273" t="str">
            <v>Yes</v>
          </cell>
          <cell r="I273" t="str">
            <v>PSZ-AC:5</v>
          </cell>
          <cell r="J273">
            <v>56.3</v>
          </cell>
          <cell r="K273">
            <v>11.15</v>
          </cell>
          <cell r="L273">
            <v>10.6713</v>
          </cell>
          <cell r="M273">
            <v>18.579999999999998</v>
          </cell>
          <cell r="N273">
            <v>6.78</v>
          </cell>
          <cell r="O273">
            <v>0</v>
          </cell>
          <cell r="P273">
            <v>3.4200000000000001E-2</v>
          </cell>
          <cell r="R273">
            <v>1.0252300508275299E-3</v>
          </cell>
          <cell r="S273">
            <v>0</v>
          </cell>
          <cell r="T273">
            <v>0</v>
          </cell>
        </row>
        <row r="274">
          <cell r="A274" t="str">
            <v>OfficeSmallATTIC</v>
          </cell>
          <cell r="B274" t="str">
            <v>STD2004</v>
          </cell>
          <cell r="C274" t="str">
            <v>Buffalo</v>
          </cell>
          <cell r="D274" t="str">
            <v>OfficeSmall</v>
          </cell>
          <cell r="E274" t="str">
            <v>ATTIC</v>
          </cell>
          <cell r="F274">
            <v>567.98</v>
          </cell>
          <cell r="G274">
            <v>1</v>
          </cell>
          <cell r="H274" t="str">
            <v>No</v>
          </cell>
          <cell r="J274">
            <v>0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R274">
            <v>0</v>
          </cell>
          <cell r="S274">
            <v>0.2001</v>
          </cell>
          <cell r="T274">
            <v>0</v>
          </cell>
        </row>
        <row r="275">
          <cell r="A275" t="str">
            <v>OfficeSmallTotal</v>
          </cell>
          <cell r="B275" t="str">
            <v>STD2004</v>
          </cell>
          <cell r="C275" t="str">
            <v>Buffalo</v>
          </cell>
          <cell r="D275" t="str">
            <v>OfficeSmall</v>
          </cell>
          <cell r="E275" t="str">
            <v>Total</v>
          </cell>
          <cell r="F275">
            <v>511.16</v>
          </cell>
          <cell r="J275">
            <v>281.51</v>
          </cell>
          <cell r="K275">
            <v>59.65</v>
          </cell>
          <cell r="L275">
            <v>10.6713</v>
          </cell>
          <cell r="M275">
            <v>18.579999999999998</v>
          </cell>
          <cell r="N275">
            <v>6.78</v>
          </cell>
          <cell r="O275">
            <v>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OfficeSmallConditioned Total</v>
          </cell>
          <cell r="B276" t="str">
            <v>STD2004</v>
          </cell>
          <cell r="C276" t="str">
            <v>Buffalo</v>
          </cell>
          <cell r="D276" t="str">
            <v>OfficeSmall</v>
          </cell>
          <cell r="E276" t="str">
            <v>Conditioned Total</v>
          </cell>
          <cell r="F276">
            <v>511.16</v>
          </cell>
          <cell r="J276">
            <v>281.51</v>
          </cell>
          <cell r="K276">
            <v>59.65</v>
          </cell>
          <cell r="L276">
            <v>10.6713</v>
          </cell>
          <cell r="M276">
            <v>18.579999999999998</v>
          </cell>
          <cell r="N276">
            <v>6.78</v>
          </cell>
          <cell r="O276">
            <v>0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OfficeSmallUnconditioned Total</v>
          </cell>
          <cell r="B277" t="str">
            <v>STD2004</v>
          </cell>
          <cell r="C277" t="str">
            <v>Buffalo</v>
          </cell>
          <cell r="D277" t="str">
            <v>OfficeSmall</v>
          </cell>
          <cell r="E277" t="str">
            <v>Unconditioned Total</v>
          </cell>
          <cell r="F277">
            <v>0</v>
          </cell>
          <cell r="J277">
            <v>0</v>
          </cell>
          <cell r="K277">
            <v>0</v>
          </cell>
          <cell r="O277">
            <v>0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OfficeSmallNot Part of Total</v>
          </cell>
          <cell r="B278" t="str">
            <v>STD2004</v>
          </cell>
          <cell r="C278" t="str">
            <v>Buffalo</v>
          </cell>
          <cell r="D278" t="str">
            <v>OfficeSmall</v>
          </cell>
          <cell r="E278" t="str">
            <v>Not Part of Total</v>
          </cell>
          <cell r="F278">
            <v>567.98</v>
          </cell>
          <cell r="J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OutPatientHealthCareFLOOR 1 ANESTHESIA</v>
          </cell>
          <cell r="B279" t="str">
            <v>STD2004</v>
          </cell>
          <cell r="C279" t="str">
            <v>Buffalo</v>
          </cell>
          <cell r="D279" t="str">
            <v>OutPatientHealthCare</v>
          </cell>
          <cell r="E279" t="str">
            <v>FLOOR 1 ANESTHESIA</v>
          </cell>
          <cell r="F279">
            <v>10.029999999999999</v>
          </cell>
          <cell r="G279">
            <v>1</v>
          </cell>
          <cell r="H279" t="str">
            <v>Yes</v>
          </cell>
          <cell r="I279" t="str">
            <v>AHU-1</v>
          </cell>
          <cell r="J279">
            <v>8.36</v>
          </cell>
          <cell r="K279">
            <v>2.23</v>
          </cell>
          <cell r="L279">
            <v>16.145800000000001</v>
          </cell>
          <cell r="M279">
            <v>4.6399999999999997</v>
          </cell>
          <cell r="N279">
            <v>21.53</v>
          </cell>
          <cell r="O279">
            <v>0</v>
          </cell>
          <cell r="P279">
            <v>1.5299999999999999E-2</v>
          </cell>
          <cell r="Q279">
            <v>7.0000000000000007E-2</v>
          </cell>
          <cell r="R279">
            <v>1.0252300508275299E-3</v>
          </cell>
          <cell r="S279">
            <v>0</v>
          </cell>
          <cell r="T279">
            <v>0</v>
          </cell>
        </row>
        <row r="280">
          <cell r="A280" t="str">
            <v>OutPatientHealthCareFLOOR 1 BIO HAZ</v>
          </cell>
          <cell r="B280" t="str">
            <v>STD2004</v>
          </cell>
          <cell r="C280" t="str">
            <v>Buffalo</v>
          </cell>
          <cell r="D280" t="str">
            <v>OutPatientHealthCare</v>
          </cell>
          <cell r="E280" t="str">
            <v>FLOOR 1 BIO HAZ</v>
          </cell>
          <cell r="F280">
            <v>5.2</v>
          </cell>
          <cell r="G280">
            <v>1</v>
          </cell>
          <cell r="H280" t="str">
            <v>Yes</v>
          </cell>
          <cell r="I280" t="str">
            <v>AHU-1</v>
          </cell>
          <cell r="J280">
            <v>0</v>
          </cell>
          <cell r="K280">
            <v>0</v>
          </cell>
          <cell r="L280">
            <v>9.6875</v>
          </cell>
          <cell r="M280">
            <v>46.45</v>
          </cell>
          <cell r="N280">
            <v>1.08</v>
          </cell>
          <cell r="O280">
            <v>0</v>
          </cell>
          <cell r="P280">
            <v>4.0000000000000001E-3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OutPatientHealthCareFLOOR 1 CAFE</v>
          </cell>
          <cell r="B281" t="str">
            <v>STD2004</v>
          </cell>
          <cell r="C281" t="str">
            <v>Buffalo</v>
          </cell>
          <cell r="D281" t="str">
            <v>OutPatientHealthCare</v>
          </cell>
          <cell r="E281" t="str">
            <v>FLOOR 1 CAFE</v>
          </cell>
          <cell r="F281">
            <v>39.020000000000003</v>
          </cell>
          <cell r="G281">
            <v>1</v>
          </cell>
          <cell r="H281" t="str">
            <v>Yes</v>
          </cell>
          <cell r="I281" t="str">
            <v>AHU-1</v>
          </cell>
          <cell r="J281">
            <v>18.579999999999998</v>
          </cell>
          <cell r="K281">
            <v>8.92</v>
          </cell>
          <cell r="L281">
            <v>9.6875</v>
          </cell>
          <cell r="M281">
            <v>0.93</v>
          </cell>
          <cell r="N281">
            <v>10.76</v>
          </cell>
          <cell r="O281">
            <v>0</v>
          </cell>
          <cell r="P281">
            <v>0.39639999999999997</v>
          </cell>
          <cell r="R281">
            <v>1.0252300508275299E-3</v>
          </cell>
          <cell r="S281">
            <v>0</v>
          </cell>
          <cell r="T281">
            <v>0</v>
          </cell>
        </row>
        <row r="282">
          <cell r="A282" t="str">
            <v>OutPatientHealthCareFLOOR 1 CLEAN</v>
          </cell>
          <cell r="B282" t="str">
            <v>STD2004</v>
          </cell>
          <cell r="C282" t="str">
            <v>Buffalo</v>
          </cell>
          <cell r="D282" t="str">
            <v>OutPatientHealthCare</v>
          </cell>
          <cell r="E282" t="str">
            <v>FLOOR 1 CLEAN</v>
          </cell>
          <cell r="F282">
            <v>11.71</v>
          </cell>
          <cell r="G282">
            <v>1</v>
          </cell>
          <cell r="H282" t="str">
            <v>Yes</v>
          </cell>
          <cell r="I282" t="str">
            <v>AHU-1</v>
          </cell>
          <cell r="J282">
            <v>0</v>
          </cell>
          <cell r="K282">
            <v>0</v>
          </cell>
          <cell r="L282">
            <v>16.145800000000001</v>
          </cell>
          <cell r="M282">
            <v>4.6399999999999997</v>
          </cell>
          <cell r="N282">
            <v>21.53</v>
          </cell>
          <cell r="O282">
            <v>0</v>
          </cell>
          <cell r="P282">
            <v>1.78E-2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OutPatientHealthCareFLOOR 1 CLEAN WORK</v>
          </cell>
          <cell r="B283" t="str">
            <v>STD2004</v>
          </cell>
          <cell r="C283" t="str">
            <v>Buffalo</v>
          </cell>
          <cell r="D283" t="str">
            <v>OutPatientHealthCare</v>
          </cell>
          <cell r="E283" t="str">
            <v>FLOOR 1 CLEAN WORK</v>
          </cell>
          <cell r="F283">
            <v>15.33</v>
          </cell>
          <cell r="G283">
            <v>1</v>
          </cell>
          <cell r="H283" t="str">
            <v>Yes</v>
          </cell>
          <cell r="I283" t="str">
            <v>AHU-1</v>
          </cell>
          <cell r="J283">
            <v>0</v>
          </cell>
          <cell r="K283">
            <v>0</v>
          </cell>
          <cell r="L283">
            <v>16.145800000000001</v>
          </cell>
          <cell r="M283">
            <v>4.6399999999999997</v>
          </cell>
          <cell r="N283">
            <v>21.53</v>
          </cell>
          <cell r="O283">
            <v>0</v>
          </cell>
          <cell r="P283">
            <v>2.3400000000000001E-2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OutPatientHealthCareFLOOR 1 DICTATION</v>
          </cell>
          <cell r="B284" t="str">
            <v>STD2004</v>
          </cell>
          <cell r="C284" t="str">
            <v>Buffalo</v>
          </cell>
          <cell r="D284" t="str">
            <v>OutPatientHealthCare</v>
          </cell>
          <cell r="E284" t="str">
            <v>FLOOR 1 DICTATION</v>
          </cell>
          <cell r="F284">
            <v>11.71</v>
          </cell>
          <cell r="G284">
            <v>1</v>
          </cell>
          <cell r="H284" t="str">
            <v>Yes</v>
          </cell>
          <cell r="I284" t="str">
            <v>AHU-1</v>
          </cell>
          <cell r="J284">
            <v>0</v>
          </cell>
          <cell r="K284">
            <v>0</v>
          </cell>
          <cell r="L284">
            <v>11.840299999999999</v>
          </cell>
          <cell r="M284">
            <v>18.579999999999998</v>
          </cell>
          <cell r="N284">
            <v>11.84</v>
          </cell>
          <cell r="O284">
            <v>0</v>
          </cell>
          <cell r="P284">
            <v>5.8999999999999999E-3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OutPatientHealthCareFLOOR 1 DRESSING ROOM</v>
          </cell>
          <cell r="B285" t="str">
            <v>STD2004</v>
          </cell>
          <cell r="C285" t="str">
            <v>Buffalo</v>
          </cell>
          <cell r="D285" t="str">
            <v>OutPatientHealthCare</v>
          </cell>
          <cell r="E285" t="str">
            <v>FLOOR 1 DRESSING ROOM</v>
          </cell>
          <cell r="F285">
            <v>4.18</v>
          </cell>
          <cell r="G285">
            <v>1</v>
          </cell>
          <cell r="H285" t="str">
            <v>Yes</v>
          </cell>
          <cell r="I285" t="str">
            <v>AHU-1</v>
          </cell>
          <cell r="J285">
            <v>8.36</v>
          </cell>
          <cell r="K285">
            <v>2.3199999999999998</v>
          </cell>
          <cell r="L285">
            <v>11.840299999999999</v>
          </cell>
          <cell r="M285">
            <v>18.579999999999998</v>
          </cell>
          <cell r="N285">
            <v>11.84</v>
          </cell>
          <cell r="O285">
            <v>0</v>
          </cell>
          <cell r="P285">
            <v>2.0999999999999999E-3</v>
          </cell>
          <cell r="R285">
            <v>1.0252300508275299E-3</v>
          </cell>
          <cell r="S285">
            <v>0</v>
          </cell>
          <cell r="T285">
            <v>0</v>
          </cell>
        </row>
        <row r="286">
          <cell r="A286" t="str">
            <v>OutPatientHealthCareFLOOR 1 ELECTRICAL ROOM</v>
          </cell>
          <cell r="B286" t="str">
            <v>STD2004</v>
          </cell>
          <cell r="C286" t="str">
            <v>Buffalo</v>
          </cell>
          <cell r="D286" t="str">
            <v>OutPatientHealthCare</v>
          </cell>
          <cell r="E286" t="str">
            <v>FLOOR 1 ELECTRICAL ROOM</v>
          </cell>
          <cell r="F286">
            <v>9.1</v>
          </cell>
          <cell r="G286">
            <v>1</v>
          </cell>
          <cell r="H286" t="str">
            <v>Yes</v>
          </cell>
          <cell r="I286" t="str">
            <v>AHU-1</v>
          </cell>
          <cell r="J286">
            <v>6.5</v>
          </cell>
          <cell r="K286">
            <v>0</v>
          </cell>
          <cell r="L286">
            <v>16.145800000000001</v>
          </cell>
          <cell r="M286">
            <v>61.94</v>
          </cell>
          <cell r="N286">
            <v>53.82</v>
          </cell>
          <cell r="O286">
            <v>0</v>
          </cell>
          <cell r="P286">
            <v>0</v>
          </cell>
          <cell r="R286">
            <v>1.0252300508275299E-3</v>
          </cell>
          <cell r="S286">
            <v>0</v>
          </cell>
          <cell r="T286">
            <v>0</v>
          </cell>
        </row>
        <row r="287">
          <cell r="A287" t="str">
            <v>OutPatientHealthCareFLOOR 1 ELEVATOR PUMP ROOM</v>
          </cell>
          <cell r="B287" t="str">
            <v>STD2004</v>
          </cell>
          <cell r="C287" t="str">
            <v>Buffalo</v>
          </cell>
          <cell r="D287" t="str">
            <v>OutPatientHealthCare</v>
          </cell>
          <cell r="E287" t="str">
            <v>FLOOR 1 ELEVATOR PUMP ROOM</v>
          </cell>
          <cell r="F287">
            <v>8.4499999999999993</v>
          </cell>
          <cell r="G287">
            <v>1</v>
          </cell>
          <cell r="H287" t="str">
            <v>Yes</v>
          </cell>
          <cell r="I287" t="str">
            <v>AHU-1</v>
          </cell>
          <cell r="J287">
            <v>18.579999999999998</v>
          </cell>
          <cell r="K287">
            <v>0</v>
          </cell>
          <cell r="L287">
            <v>16.145800000000001</v>
          </cell>
          <cell r="M287">
            <v>61.94</v>
          </cell>
          <cell r="N287">
            <v>1674.7674999999999</v>
          </cell>
          <cell r="O287">
            <v>0</v>
          </cell>
          <cell r="P287">
            <v>0</v>
          </cell>
          <cell r="R287">
            <v>1.0252300508275299E-3</v>
          </cell>
          <cell r="S287">
            <v>0</v>
          </cell>
          <cell r="T287">
            <v>0</v>
          </cell>
        </row>
        <row r="288">
          <cell r="A288" t="str">
            <v>OutPatientHealthCareFLOOR 1 HUMID</v>
          </cell>
          <cell r="B288" t="str">
            <v>STD2004</v>
          </cell>
          <cell r="C288" t="str">
            <v>Buffalo</v>
          </cell>
          <cell r="D288" t="str">
            <v>OutPatientHealthCare</v>
          </cell>
          <cell r="E288" t="str">
            <v>FLOOR 1 HUMID</v>
          </cell>
          <cell r="F288">
            <v>5.0199999999999996</v>
          </cell>
          <cell r="G288">
            <v>1</v>
          </cell>
          <cell r="H288" t="str">
            <v>Yes</v>
          </cell>
          <cell r="I288" t="str">
            <v>AHU-1</v>
          </cell>
          <cell r="J288">
            <v>0</v>
          </cell>
          <cell r="K288">
            <v>0</v>
          </cell>
          <cell r="L288">
            <v>11.840299999999999</v>
          </cell>
          <cell r="M288">
            <v>18.579999999999998</v>
          </cell>
          <cell r="N288">
            <v>11.84</v>
          </cell>
          <cell r="O288">
            <v>0</v>
          </cell>
          <cell r="P288">
            <v>2.5000000000000001E-3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OutPatientHealthCareFLOOR 1 IT HALL</v>
          </cell>
          <cell r="B289" t="str">
            <v>STD2004</v>
          </cell>
          <cell r="C289" t="str">
            <v>Buffalo</v>
          </cell>
          <cell r="D289" t="str">
            <v>OutPatientHealthCare</v>
          </cell>
          <cell r="E289" t="str">
            <v>FLOOR 1 IT HALL</v>
          </cell>
          <cell r="F289">
            <v>13.01</v>
          </cell>
          <cell r="G289">
            <v>1</v>
          </cell>
          <cell r="H289" t="str">
            <v>Yes</v>
          </cell>
          <cell r="I289" t="str">
            <v>AHU-1</v>
          </cell>
          <cell r="J289">
            <v>0</v>
          </cell>
          <cell r="K289">
            <v>0</v>
          </cell>
          <cell r="L289">
            <v>10.3041</v>
          </cell>
          <cell r="M289">
            <v>18.579999999999998</v>
          </cell>
          <cell r="N289">
            <v>4.3099999999999996</v>
          </cell>
          <cell r="O289">
            <v>0</v>
          </cell>
          <cell r="P289">
            <v>3.3E-3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OutPatientHealthCareFLOOR 1 IT ROOM</v>
          </cell>
          <cell r="B290" t="str">
            <v>STD2004</v>
          </cell>
          <cell r="C290" t="str">
            <v>Buffalo</v>
          </cell>
          <cell r="D290" t="str">
            <v>OutPatientHealthCare</v>
          </cell>
          <cell r="E290" t="str">
            <v>FLOOR 1 IT ROOM</v>
          </cell>
          <cell r="F290">
            <v>10.41</v>
          </cell>
          <cell r="G290">
            <v>1</v>
          </cell>
          <cell r="H290" t="str">
            <v>Yes</v>
          </cell>
          <cell r="I290" t="str">
            <v>AHU-1</v>
          </cell>
          <cell r="J290">
            <v>0</v>
          </cell>
          <cell r="K290">
            <v>0</v>
          </cell>
          <cell r="L290">
            <v>11.840299999999999</v>
          </cell>
          <cell r="M290">
            <v>18.579999999999998</v>
          </cell>
          <cell r="N290">
            <v>11.84</v>
          </cell>
          <cell r="O290">
            <v>0</v>
          </cell>
          <cell r="P290">
            <v>5.3E-3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OutPatientHealthCareFLOOR 1 LOBBY</v>
          </cell>
          <cell r="B291" t="str">
            <v>STD2004</v>
          </cell>
          <cell r="C291" t="str">
            <v>Buffalo</v>
          </cell>
          <cell r="D291" t="str">
            <v>OutPatientHealthCare</v>
          </cell>
          <cell r="E291" t="str">
            <v>FLOOR 1 LOBBY</v>
          </cell>
          <cell r="F291">
            <v>57.79</v>
          </cell>
          <cell r="G291">
            <v>1</v>
          </cell>
          <cell r="H291" t="str">
            <v>Yes</v>
          </cell>
          <cell r="I291" t="str">
            <v>AHU-1</v>
          </cell>
          <cell r="J291">
            <v>20.440000000000001</v>
          </cell>
          <cell r="K291">
            <v>8.92</v>
          </cell>
          <cell r="L291">
            <v>13.9931</v>
          </cell>
          <cell r="M291">
            <v>9.2899999999999991</v>
          </cell>
          <cell r="N291">
            <v>11.84</v>
          </cell>
          <cell r="O291">
            <v>0</v>
          </cell>
          <cell r="P291">
            <v>4.3999999999999997E-2</v>
          </cell>
          <cell r="R291">
            <v>1.0252300508275299E-3</v>
          </cell>
          <cell r="S291">
            <v>0</v>
          </cell>
          <cell r="T291">
            <v>0</v>
          </cell>
        </row>
        <row r="292">
          <cell r="A292" t="str">
            <v>OutPatientHealthCareFLOOR 1 LOBBY HALL</v>
          </cell>
          <cell r="B292" t="str">
            <v>STD2004</v>
          </cell>
          <cell r="C292" t="str">
            <v>Buffalo</v>
          </cell>
          <cell r="D292" t="str">
            <v>OutPatientHealthCare</v>
          </cell>
          <cell r="E292" t="str">
            <v>FLOOR 1 LOBBY HALL</v>
          </cell>
          <cell r="F292">
            <v>22.3</v>
          </cell>
          <cell r="G292">
            <v>1</v>
          </cell>
          <cell r="H292" t="str">
            <v>Yes</v>
          </cell>
          <cell r="I292" t="str">
            <v>AHU-1</v>
          </cell>
          <cell r="J292">
            <v>0</v>
          </cell>
          <cell r="K292">
            <v>0</v>
          </cell>
          <cell r="L292">
            <v>10.3041</v>
          </cell>
          <cell r="M292">
            <v>18.579999999999998</v>
          </cell>
          <cell r="N292">
            <v>4.3099999999999996</v>
          </cell>
          <cell r="O292">
            <v>0</v>
          </cell>
          <cell r="P292">
            <v>5.7000000000000002E-3</v>
          </cell>
          <cell r="R292">
            <v>0</v>
          </cell>
          <cell r="S292">
            <v>0</v>
          </cell>
          <cell r="T292">
            <v>0</v>
          </cell>
        </row>
        <row r="293">
          <cell r="A293" t="str">
            <v>OutPatientHealthCareFLOOR 1 LOBBY TOILET</v>
          </cell>
          <cell r="B293" t="str">
            <v>STD2004</v>
          </cell>
          <cell r="C293" t="str">
            <v>Buffalo</v>
          </cell>
          <cell r="D293" t="str">
            <v>OutPatientHealthCare</v>
          </cell>
          <cell r="E293" t="str">
            <v>FLOOR 1 LOBBY TOILET</v>
          </cell>
          <cell r="F293">
            <v>5.0199999999999996</v>
          </cell>
          <cell r="G293">
            <v>1</v>
          </cell>
          <cell r="H293" t="str">
            <v>Yes</v>
          </cell>
          <cell r="I293" t="str">
            <v>AHU-1</v>
          </cell>
          <cell r="J293">
            <v>5.57</v>
          </cell>
          <cell r="K293">
            <v>0</v>
          </cell>
          <cell r="L293">
            <v>9.6875</v>
          </cell>
          <cell r="M293">
            <v>18.579999999999998</v>
          </cell>
          <cell r="N293">
            <v>4.3099999999999996</v>
          </cell>
          <cell r="O293">
            <v>0</v>
          </cell>
          <cell r="P293">
            <v>0</v>
          </cell>
          <cell r="Q293">
            <v>0.04</v>
          </cell>
          <cell r="R293">
            <v>1.0252300508275299E-3</v>
          </cell>
          <cell r="S293">
            <v>0</v>
          </cell>
          <cell r="T293">
            <v>0</v>
          </cell>
        </row>
        <row r="294">
          <cell r="A294" t="str">
            <v>OutPatientHealthCareFLOOR 1 LOCKER ROOM</v>
          </cell>
          <cell r="B294" t="str">
            <v>STD2004</v>
          </cell>
          <cell r="C294" t="str">
            <v>Buffalo</v>
          </cell>
          <cell r="D294" t="str">
            <v>OutPatientHealthCare</v>
          </cell>
          <cell r="E294" t="str">
            <v>FLOOR 1 LOCKER ROOM</v>
          </cell>
          <cell r="F294">
            <v>61.32</v>
          </cell>
          <cell r="G294">
            <v>1</v>
          </cell>
          <cell r="H294" t="str">
            <v>Yes</v>
          </cell>
          <cell r="I294" t="str">
            <v>AHU-1</v>
          </cell>
          <cell r="J294">
            <v>20.440000000000001</v>
          </cell>
          <cell r="K294">
            <v>5.57</v>
          </cell>
          <cell r="L294">
            <v>8.6111000000000004</v>
          </cell>
          <cell r="M294">
            <v>6.19</v>
          </cell>
          <cell r="N294">
            <v>32.29</v>
          </cell>
          <cell r="O294">
            <v>0</v>
          </cell>
          <cell r="P294">
            <v>7.0099999999999996E-2</v>
          </cell>
          <cell r="R294">
            <v>1.0252300508275299E-3</v>
          </cell>
          <cell r="S294">
            <v>0</v>
          </cell>
          <cell r="T294">
            <v>0</v>
          </cell>
        </row>
        <row r="295">
          <cell r="A295" t="str">
            <v>OutPatientHealthCareFLOOR 1 LOCKER ROOM HALL</v>
          </cell>
          <cell r="B295" t="str">
            <v>STD2004</v>
          </cell>
          <cell r="C295" t="str">
            <v>Buffalo</v>
          </cell>
          <cell r="D295" t="str">
            <v>OutPatientHealthCare</v>
          </cell>
          <cell r="E295" t="str">
            <v>FLOOR 1 LOCKER ROOM HALL</v>
          </cell>
          <cell r="F295">
            <v>46.08</v>
          </cell>
          <cell r="G295">
            <v>1</v>
          </cell>
          <cell r="H295" t="str">
            <v>Yes</v>
          </cell>
          <cell r="I295" t="str">
            <v>AHU-1</v>
          </cell>
          <cell r="J295">
            <v>0</v>
          </cell>
          <cell r="K295">
            <v>0</v>
          </cell>
          <cell r="L295">
            <v>10.3041</v>
          </cell>
          <cell r="M295">
            <v>18.579999999999998</v>
          </cell>
          <cell r="N295">
            <v>4.3099999999999996</v>
          </cell>
          <cell r="O295">
            <v>0</v>
          </cell>
          <cell r="P295">
            <v>1.17E-2</v>
          </cell>
          <cell r="R295">
            <v>0</v>
          </cell>
          <cell r="S295">
            <v>0</v>
          </cell>
          <cell r="T295">
            <v>0</v>
          </cell>
        </row>
        <row r="296">
          <cell r="A296" t="str">
            <v>OutPatientHealthCareFLOOR 1 LOUNGE</v>
          </cell>
          <cell r="B296" t="str">
            <v>STD2004</v>
          </cell>
          <cell r="C296" t="str">
            <v>Buffalo</v>
          </cell>
          <cell r="D296" t="str">
            <v>OutPatientHealthCare</v>
          </cell>
          <cell r="E296" t="str">
            <v>FLOOR 1 LOUNGE</v>
          </cell>
          <cell r="F296">
            <v>33.450000000000003</v>
          </cell>
          <cell r="G296">
            <v>1</v>
          </cell>
          <cell r="H296" t="str">
            <v>Yes</v>
          </cell>
          <cell r="I296" t="str">
            <v>AHU-1</v>
          </cell>
          <cell r="J296">
            <v>0</v>
          </cell>
          <cell r="K296">
            <v>0</v>
          </cell>
          <cell r="L296">
            <v>8.6111000000000004</v>
          </cell>
          <cell r="M296">
            <v>6.19</v>
          </cell>
          <cell r="N296">
            <v>32.29</v>
          </cell>
          <cell r="O296">
            <v>0</v>
          </cell>
          <cell r="P296">
            <v>3.8199999999999998E-2</v>
          </cell>
          <cell r="R296">
            <v>0</v>
          </cell>
          <cell r="S296">
            <v>0</v>
          </cell>
          <cell r="T296">
            <v>0</v>
          </cell>
        </row>
        <row r="297">
          <cell r="A297" t="str">
            <v>OutPatientHealthCareFLOOR 1 MED GAS</v>
          </cell>
          <cell r="B297" t="str">
            <v>STD2004</v>
          </cell>
          <cell r="C297" t="str">
            <v>Buffalo</v>
          </cell>
          <cell r="D297" t="str">
            <v>OutPatientHealthCare</v>
          </cell>
          <cell r="E297" t="str">
            <v>FLOOR 1 MED GAS</v>
          </cell>
          <cell r="F297">
            <v>5.2</v>
          </cell>
          <cell r="G297">
            <v>1</v>
          </cell>
          <cell r="H297" t="str">
            <v>Yes</v>
          </cell>
          <cell r="I297" t="str">
            <v>AHU-1</v>
          </cell>
          <cell r="J297">
            <v>13.94</v>
          </cell>
          <cell r="K297">
            <v>0</v>
          </cell>
          <cell r="L297">
            <v>9.6875</v>
          </cell>
          <cell r="M297">
            <v>46.45</v>
          </cell>
          <cell r="N297">
            <v>1.08</v>
          </cell>
          <cell r="O297">
            <v>0</v>
          </cell>
          <cell r="P297">
            <v>4.0000000000000001E-3</v>
          </cell>
          <cell r="R297">
            <v>1.0252300508275299E-3</v>
          </cell>
          <cell r="S297">
            <v>0</v>
          </cell>
          <cell r="T297">
            <v>0</v>
          </cell>
        </row>
        <row r="298">
          <cell r="A298" t="str">
            <v>OutPatientHealthCareFLOOR 1 MRI CONTROL ROOM</v>
          </cell>
          <cell r="B298" t="str">
            <v>STD2004</v>
          </cell>
          <cell r="C298" t="str">
            <v>Buffalo</v>
          </cell>
          <cell r="D298" t="str">
            <v>OutPatientHealthCare</v>
          </cell>
          <cell r="E298" t="str">
            <v>FLOOR 1 MRI CONTROL ROOM</v>
          </cell>
          <cell r="F298">
            <v>15.61</v>
          </cell>
          <cell r="G298">
            <v>1</v>
          </cell>
          <cell r="H298" t="str">
            <v>Yes</v>
          </cell>
          <cell r="I298" t="str">
            <v>AHU-1</v>
          </cell>
          <cell r="J298">
            <v>4.6500000000000004</v>
          </cell>
          <cell r="K298">
            <v>0</v>
          </cell>
          <cell r="L298">
            <v>4.3056000000000001</v>
          </cell>
          <cell r="M298">
            <v>4.6399999999999997</v>
          </cell>
          <cell r="N298">
            <v>107.64</v>
          </cell>
          <cell r="O298">
            <v>0</v>
          </cell>
          <cell r="P298">
            <v>2.3800000000000002E-2</v>
          </cell>
          <cell r="Q298">
            <v>0.16</v>
          </cell>
          <cell r="R298">
            <v>0</v>
          </cell>
          <cell r="S298">
            <v>0</v>
          </cell>
          <cell r="T298">
            <v>0</v>
          </cell>
        </row>
        <row r="299">
          <cell r="A299" t="str">
            <v>OutPatientHealthCareFLOOR 1 MRI HALL</v>
          </cell>
          <cell r="B299" t="str">
            <v>STD2004</v>
          </cell>
          <cell r="C299" t="str">
            <v>Buffalo</v>
          </cell>
          <cell r="D299" t="str">
            <v>OutPatientHealthCare</v>
          </cell>
          <cell r="E299" t="str">
            <v>FLOOR 1 MRI HALL</v>
          </cell>
          <cell r="F299">
            <v>13.66</v>
          </cell>
          <cell r="G299">
            <v>1</v>
          </cell>
          <cell r="H299" t="str">
            <v>Yes</v>
          </cell>
          <cell r="I299" t="str">
            <v>AHU-1</v>
          </cell>
          <cell r="J299">
            <v>0</v>
          </cell>
          <cell r="K299">
            <v>0</v>
          </cell>
          <cell r="L299">
            <v>10.3041</v>
          </cell>
          <cell r="M299">
            <v>18.579999999999998</v>
          </cell>
          <cell r="N299">
            <v>4.3099999999999996</v>
          </cell>
          <cell r="O299">
            <v>0</v>
          </cell>
          <cell r="P299">
            <v>3.5000000000000001E-3</v>
          </cell>
          <cell r="R299">
            <v>0</v>
          </cell>
          <cell r="S299">
            <v>0</v>
          </cell>
          <cell r="T299">
            <v>0</v>
          </cell>
        </row>
        <row r="300">
          <cell r="A300" t="str">
            <v>OutPatientHealthCareFLOOR 1 MRI ROOM</v>
          </cell>
          <cell r="B300" t="str">
            <v>STD2004</v>
          </cell>
          <cell r="C300" t="str">
            <v>Buffalo</v>
          </cell>
          <cell r="D300" t="str">
            <v>OutPatientHealthCare</v>
          </cell>
          <cell r="E300" t="str">
            <v>FLOOR 1 MRI ROOM</v>
          </cell>
          <cell r="F300">
            <v>40.880000000000003</v>
          </cell>
          <cell r="G300">
            <v>1</v>
          </cell>
          <cell r="H300" t="str">
            <v>Yes</v>
          </cell>
          <cell r="I300" t="str">
            <v>AHU-1</v>
          </cell>
          <cell r="J300">
            <v>0</v>
          </cell>
          <cell r="K300">
            <v>0</v>
          </cell>
          <cell r="L300">
            <v>4.3056000000000001</v>
          </cell>
          <cell r="M300">
            <v>4.6399999999999997</v>
          </cell>
          <cell r="N300">
            <v>107.64</v>
          </cell>
          <cell r="O300">
            <v>0</v>
          </cell>
          <cell r="P300">
            <v>6.2300000000000001E-2</v>
          </cell>
          <cell r="Q300">
            <v>0.42</v>
          </cell>
          <cell r="R300">
            <v>0</v>
          </cell>
          <cell r="S300">
            <v>0</v>
          </cell>
          <cell r="T300">
            <v>0</v>
          </cell>
        </row>
        <row r="301">
          <cell r="A301" t="str">
            <v>OutPatientHealthCareFLOOR 1 MRI TOILET</v>
          </cell>
          <cell r="B301" t="str">
            <v>STD2004</v>
          </cell>
          <cell r="C301" t="str">
            <v>Buffalo</v>
          </cell>
          <cell r="D301" t="str">
            <v>OutPatientHealthCare</v>
          </cell>
          <cell r="E301" t="str">
            <v>FLOOR 1 MRI TOILET</v>
          </cell>
          <cell r="F301">
            <v>5.0199999999999996</v>
          </cell>
          <cell r="G301">
            <v>1</v>
          </cell>
          <cell r="H301" t="str">
            <v>Yes</v>
          </cell>
          <cell r="I301" t="str">
            <v>AHU-1</v>
          </cell>
          <cell r="J301">
            <v>5.57</v>
          </cell>
          <cell r="K301">
            <v>0</v>
          </cell>
          <cell r="L301">
            <v>9.6875</v>
          </cell>
          <cell r="M301">
            <v>18.579999999999998</v>
          </cell>
          <cell r="N301">
            <v>4.3099999999999996</v>
          </cell>
          <cell r="O301">
            <v>0</v>
          </cell>
          <cell r="P301">
            <v>0</v>
          </cell>
          <cell r="Q301">
            <v>0.04</v>
          </cell>
          <cell r="R301">
            <v>1.0252300508275299E-3</v>
          </cell>
          <cell r="S301">
            <v>0</v>
          </cell>
          <cell r="T301">
            <v>0</v>
          </cell>
        </row>
        <row r="302">
          <cell r="A302" t="str">
            <v>OutPatientHealthCareFLOOR 1 NOURISHMENT</v>
          </cell>
          <cell r="B302" t="str">
            <v>STD2004</v>
          </cell>
          <cell r="C302" t="str">
            <v>Buffalo</v>
          </cell>
          <cell r="D302" t="str">
            <v>OutPatientHealthCare</v>
          </cell>
          <cell r="E302" t="str">
            <v>FLOOR 1 NOURISHMENT</v>
          </cell>
          <cell r="F302">
            <v>16.91</v>
          </cell>
          <cell r="G302">
            <v>1</v>
          </cell>
          <cell r="H302" t="str">
            <v>Yes</v>
          </cell>
          <cell r="I302" t="str">
            <v>AHU-1</v>
          </cell>
          <cell r="J302">
            <v>0</v>
          </cell>
          <cell r="K302">
            <v>0</v>
          </cell>
          <cell r="L302">
            <v>10.7639</v>
          </cell>
          <cell r="M302">
            <v>6.19</v>
          </cell>
          <cell r="N302">
            <v>21.53</v>
          </cell>
          <cell r="O302">
            <v>0</v>
          </cell>
          <cell r="P302">
            <v>2.58E-2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OutPatientHealthCareFLOOR 1 NURSE HALL</v>
          </cell>
          <cell r="B303" t="str">
            <v>STD2004</v>
          </cell>
          <cell r="C303" t="str">
            <v>Buffalo</v>
          </cell>
          <cell r="D303" t="str">
            <v>OutPatientHealthCare</v>
          </cell>
          <cell r="E303" t="str">
            <v>FLOOR 1 NURSE HALL</v>
          </cell>
          <cell r="F303">
            <v>46.08</v>
          </cell>
          <cell r="G303">
            <v>1</v>
          </cell>
          <cell r="H303" t="str">
            <v>Yes</v>
          </cell>
          <cell r="I303" t="str">
            <v>AHU-1</v>
          </cell>
          <cell r="J303">
            <v>0</v>
          </cell>
          <cell r="K303">
            <v>0</v>
          </cell>
          <cell r="L303">
            <v>10.3041</v>
          </cell>
          <cell r="M303">
            <v>18.579999999999998</v>
          </cell>
          <cell r="N303">
            <v>4.3099999999999996</v>
          </cell>
          <cell r="O303">
            <v>0</v>
          </cell>
          <cell r="P303">
            <v>1.17E-2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OutPatientHealthCareFLOOR 1 NURSE JANITOR</v>
          </cell>
          <cell r="B304" t="str">
            <v>STD2004</v>
          </cell>
          <cell r="C304" t="str">
            <v>Buffalo</v>
          </cell>
          <cell r="D304" t="str">
            <v>OutPatientHealthCare</v>
          </cell>
          <cell r="E304" t="str">
            <v>FLOOR 1 NURSE JANITOR</v>
          </cell>
          <cell r="F304">
            <v>5.0199999999999996</v>
          </cell>
          <cell r="G304">
            <v>1</v>
          </cell>
          <cell r="H304" t="str">
            <v>Yes</v>
          </cell>
          <cell r="I304" t="str">
            <v>AHU-1</v>
          </cell>
          <cell r="J304">
            <v>0</v>
          </cell>
          <cell r="K304">
            <v>0</v>
          </cell>
          <cell r="L304">
            <v>9.6875</v>
          </cell>
          <cell r="M304">
            <v>46.45</v>
          </cell>
          <cell r="N304">
            <v>1.08</v>
          </cell>
          <cell r="O304">
            <v>0</v>
          </cell>
          <cell r="P304">
            <v>3.8E-3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OutPatientHealthCareFLOOR 1 NURSE STATION</v>
          </cell>
          <cell r="B305" t="str">
            <v>STD2004</v>
          </cell>
          <cell r="C305" t="str">
            <v>Buffalo</v>
          </cell>
          <cell r="D305" t="str">
            <v>OutPatientHealthCare</v>
          </cell>
          <cell r="E305" t="str">
            <v>FLOOR 1 NURSE STATION</v>
          </cell>
          <cell r="F305">
            <v>24.25</v>
          </cell>
          <cell r="G305">
            <v>1</v>
          </cell>
          <cell r="H305" t="str">
            <v>Yes</v>
          </cell>
          <cell r="I305" t="str">
            <v>AHU-1</v>
          </cell>
          <cell r="J305">
            <v>0</v>
          </cell>
          <cell r="K305">
            <v>0</v>
          </cell>
          <cell r="L305">
            <v>10.7639</v>
          </cell>
          <cell r="M305">
            <v>6.19</v>
          </cell>
          <cell r="N305">
            <v>21.53</v>
          </cell>
          <cell r="O305">
            <v>0</v>
          </cell>
          <cell r="P305">
            <v>3.6999999999999998E-2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OutPatientHealthCareFLOOR 1 NURSE TOILET</v>
          </cell>
          <cell r="B306" t="str">
            <v>STD2004</v>
          </cell>
          <cell r="C306" t="str">
            <v>Buffalo</v>
          </cell>
          <cell r="D306" t="str">
            <v>OutPatientHealthCare</v>
          </cell>
          <cell r="E306" t="str">
            <v>FLOOR 1 NURSE TOILET</v>
          </cell>
          <cell r="F306">
            <v>5.0199999999999996</v>
          </cell>
          <cell r="G306">
            <v>1</v>
          </cell>
          <cell r="H306" t="str">
            <v>Yes</v>
          </cell>
          <cell r="I306" t="str">
            <v>AHU-1</v>
          </cell>
          <cell r="J306">
            <v>0</v>
          </cell>
          <cell r="K306">
            <v>0</v>
          </cell>
          <cell r="L306">
            <v>9.6875</v>
          </cell>
          <cell r="M306">
            <v>18.579999999999998</v>
          </cell>
          <cell r="N306">
            <v>4.3099999999999996</v>
          </cell>
          <cell r="O306">
            <v>0</v>
          </cell>
          <cell r="P306">
            <v>0</v>
          </cell>
          <cell r="Q306">
            <v>0.04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OutPatientHealthCareFLOOR 1 OFFICE</v>
          </cell>
          <cell r="B307" t="str">
            <v>STD2004</v>
          </cell>
          <cell r="C307" t="str">
            <v>Buffalo</v>
          </cell>
          <cell r="D307" t="str">
            <v>OutPatientHealthCare</v>
          </cell>
          <cell r="E307" t="str">
            <v>FLOOR 1 OFFICE</v>
          </cell>
          <cell r="F307">
            <v>44.87</v>
          </cell>
          <cell r="G307">
            <v>1</v>
          </cell>
          <cell r="H307" t="str">
            <v>Yes</v>
          </cell>
          <cell r="I307" t="str">
            <v>AHU-1</v>
          </cell>
          <cell r="J307">
            <v>0</v>
          </cell>
          <cell r="K307">
            <v>0</v>
          </cell>
          <cell r="L307">
            <v>11.840299999999999</v>
          </cell>
          <cell r="M307">
            <v>18.579999999999998</v>
          </cell>
          <cell r="N307">
            <v>11.84</v>
          </cell>
          <cell r="O307">
            <v>0</v>
          </cell>
          <cell r="P307">
            <v>2.2800000000000001E-2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OutPatientHealthCareFLOOR 1 OPERATING ROOM 1</v>
          </cell>
          <cell r="B308" t="str">
            <v>STD2004</v>
          </cell>
          <cell r="C308" t="str">
            <v>Buffalo</v>
          </cell>
          <cell r="D308" t="str">
            <v>OutPatientHealthCare</v>
          </cell>
          <cell r="E308" t="str">
            <v>FLOOR 1 OPERATING ROOM 1</v>
          </cell>
          <cell r="F308">
            <v>42.74</v>
          </cell>
          <cell r="G308">
            <v>1</v>
          </cell>
          <cell r="H308" t="str">
            <v>Yes</v>
          </cell>
          <cell r="I308" t="str">
            <v>AHU-1</v>
          </cell>
          <cell r="J308">
            <v>39.950000000000003</v>
          </cell>
          <cell r="K308">
            <v>8.92</v>
          </cell>
          <cell r="L308">
            <v>23.680599999999998</v>
          </cell>
          <cell r="M308">
            <v>4.6399999999999997</v>
          </cell>
          <cell r="N308">
            <v>118.36</v>
          </cell>
          <cell r="O308">
            <v>3217.9755</v>
          </cell>
          <cell r="P308">
            <v>0.23880000000000001</v>
          </cell>
          <cell r="R308">
            <v>1.0252300508275299E-3</v>
          </cell>
          <cell r="S308">
            <v>0</v>
          </cell>
          <cell r="T308">
            <v>0</v>
          </cell>
        </row>
        <row r="309">
          <cell r="A309" t="str">
            <v>OutPatientHealthCareFLOOR 1 OPERATING ROOM 2</v>
          </cell>
          <cell r="B309" t="str">
            <v>STD2004</v>
          </cell>
          <cell r="C309" t="str">
            <v>Buffalo</v>
          </cell>
          <cell r="D309" t="str">
            <v>OutPatientHealthCare</v>
          </cell>
          <cell r="E309" t="str">
            <v>FLOOR 1 OPERATING ROOM 2</v>
          </cell>
          <cell r="F309">
            <v>44.59</v>
          </cell>
          <cell r="G309">
            <v>1</v>
          </cell>
          <cell r="H309" t="str">
            <v>Yes</v>
          </cell>
          <cell r="I309" t="str">
            <v>AHU-1</v>
          </cell>
          <cell r="J309">
            <v>22.3</v>
          </cell>
          <cell r="K309">
            <v>6.7</v>
          </cell>
          <cell r="L309">
            <v>23.680599999999998</v>
          </cell>
          <cell r="M309">
            <v>4.6399999999999997</v>
          </cell>
          <cell r="N309">
            <v>118.36</v>
          </cell>
          <cell r="O309">
            <v>3357.8874999999998</v>
          </cell>
          <cell r="P309">
            <v>0.2492</v>
          </cell>
          <cell r="R309">
            <v>1.0252300508275299E-3</v>
          </cell>
          <cell r="S309">
            <v>0</v>
          </cell>
          <cell r="T309">
            <v>0</v>
          </cell>
        </row>
        <row r="310">
          <cell r="A310" t="str">
            <v>OutPatientHealthCareFLOOR 1 OPERATING ROOM 3</v>
          </cell>
          <cell r="B310" t="str">
            <v>STD2004</v>
          </cell>
          <cell r="C310" t="str">
            <v>Buffalo</v>
          </cell>
          <cell r="D310" t="str">
            <v>OutPatientHealthCare</v>
          </cell>
          <cell r="E310" t="str">
            <v>FLOOR 1 OPERATING ROOM 3</v>
          </cell>
          <cell r="F310">
            <v>44.22</v>
          </cell>
          <cell r="G310">
            <v>1</v>
          </cell>
          <cell r="H310" t="str">
            <v>Yes</v>
          </cell>
          <cell r="I310" t="str">
            <v>AHU-1</v>
          </cell>
          <cell r="J310">
            <v>0</v>
          </cell>
          <cell r="K310">
            <v>0</v>
          </cell>
          <cell r="L310">
            <v>23.680599999999998</v>
          </cell>
          <cell r="M310">
            <v>4.6399999999999997</v>
          </cell>
          <cell r="N310">
            <v>118.36</v>
          </cell>
          <cell r="O310">
            <v>3329.9050999999999</v>
          </cell>
          <cell r="P310">
            <v>0.24709999999999999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OutPatientHealthCareFLOOR 1 PACU</v>
          </cell>
          <cell r="B311" t="str">
            <v>STD2004</v>
          </cell>
          <cell r="C311" t="str">
            <v>Buffalo</v>
          </cell>
          <cell r="D311" t="str">
            <v>OutPatientHealthCare</v>
          </cell>
          <cell r="E311" t="str">
            <v>FLOOR 1 PACU</v>
          </cell>
          <cell r="F311">
            <v>10.029999999999999</v>
          </cell>
          <cell r="G311">
            <v>1</v>
          </cell>
          <cell r="H311" t="str">
            <v>Yes</v>
          </cell>
          <cell r="I311" t="str">
            <v>AHU-1</v>
          </cell>
          <cell r="J311">
            <v>0</v>
          </cell>
          <cell r="K311">
            <v>0</v>
          </cell>
          <cell r="L311">
            <v>8.6111000000000004</v>
          </cell>
          <cell r="M311">
            <v>4.6399999999999997</v>
          </cell>
          <cell r="N311">
            <v>32.29</v>
          </cell>
          <cell r="O311">
            <v>0</v>
          </cell>
          <cell r="P311">
            <v>3.2300000000000002E-2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OutPatientHealthCareFLOOR 1 PRE-OP HALL</v>
          </cell>
          <cell r="B312" t="str">
            <v>STD2004</v>
          </cell>
          <cell r="C312" t="str">
            <v>Buffalo</v>
          </cell>
          <cell r="D312" t="str">
            <v>OutPatientHealthCare</v>
          </cell>
          <cell r="E312" t="str">
            <v>FLOOR 1 PRE-OP HALL</v>
          </cell>
          <cell r="F312">
            <v>49.05</v>
          </cell>
          <cell r="G312">
            <v>1</v>
          </cell>
          <cell r="H312" t="str">
            <v>Yes</v>
          </cell>
          <cell r="I312" t="str">
            <v>AHU-1</v>
          </cell>
          <cell r="J312">
            <v>0</v>
          </cell>
          <cell r="K312">
            <v>0</v>
          </cell>
          <cell r="L312">
            <v>10.3041</v>
          </cell>
          <cell r="M312">
            <v>18.579999999999998</v>
          </cell>
          <cell r="N312">
            <v>4.3099999999999996</v>
          </cell>
          <cell r="O312">
            <v>0</v>
          </cell>
          <cell r="P312">
            <v>1.2500000000000001E-2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OutPatientHealthCareFLOOR 1 PRE-OP ROOM 1</v>
          </cell>
          <cell r="B313" t="str">
            <v>STD2004</v>
          </cell>
          <cell r="C313" t="str">
            <v>Buffalo</v>
          </cell>
          <cell r="D313" t="str">
            <v>OutPatientHealthCare</v>
          </cell>
          <cell r="E313" t="str">
            <v>FLOOR 1 PRE-OP ROOM 1</v>
          </cell>
          <cell r="F313">
            <v>17.559999999999999</v>
          </cell>
          <cell r="G313">
            <v>1</v>
          </cell>
          <cell r="H313" t="str">
            <v>Yes</v>
          </cell>
          <cell r="I313" t="str">
            <v>AHU-1</v>
          </cell>
          <cell r="J313">
            <v>3.72</v>
          </cell>
          <cell r="K313">
            <v>0</v>
          </cell>
          <cell r="L313">
            <v>7.5347</v>
          </cell>
          <cell r="M313">
            <v>9.2899999999999991</v>
          </cell>
          <cell r="N313">
            <v>21.53</v>
          </cell>
          <cell r="O313">
            <v>0</v>
          </cell>
          <cell r="P313">
            <v>5.1999999999999998E-2</v>
          </cell>
          <cell r="R313">
            <v>1.0252300508275299E-3</v>
          </cell>
          <cell r="S313">
            <v>0</v>
          </cell>
          <cell r="T313">
            <v>0</v>
          </cell>
        </row>
        <row r="314">
          <cell r="A314" t="str">
            <v>OutPatientHealthCareFLOOR 1 PRE-OP ROOM 2</v>
          </cell>
          <cell r="B314" t="str">
            <v>STD2004</v>
          </cell>
          <cell r="C314" t="str">
            <v>Buffalo</v>
          </cell>
          <cell r="D314" t="str">
            <v>OutPatientHealthCare</v>
          </cell>
          <cell r="E314" t="str">
            <v>FLOOR 1 PRE-OP ROOM 2</v>
          </cell>
          <cell r="F314">
            <v>31.4</v>
          </cell>
          <cell r="G314">
            <v>1</v>
          </cell>
          <cell r="H314" t="str">
            <v>Yes</v>
          </cell>
          <cell r="I314" t="str">
            <v>AHU-1</v>
          </cell>
          <cell r="J314">
            <v>0</v>
          </cell>
          <cell r="K314">
            <v>0</v>
          </cell>
          <cell r="L314">
            <v>7.5347</v>
          </cell>
          <cell r="M314">
            <v>9.2899999999999991</v>
          </cell>
          <cell r="N314">
            <v>21.53</v>
          </cell>
          <cell r="O314">
            <v>0</v>
          </cell>
          <cell r="P314">
            <v>9.3100000000000002E-2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OutPatientHealthCareFLOOR 1 PRE-OP TOILET</v>
          </cell>
          <cell r="B315" t="str">
            <v>STD2004</v>
          </cell>
          <cell r="C315" t="str">
            <v>Buffalo</v>
          </cell>
          <cell r="D315" t="str">
            <v>OutPatientHealthCare</v>
          </cell>
          <cell r="E315" t="str">
            <v>FLOOR 1 PRE-OP TOILET</v>
          </cell>
          <cell r="F315">
            <v>5.0199999999999996</v>
          </cell>
          <cell r="G315">
            <v>1</v>
          </cell>
          <cell r="H315" t="str">
            <v>Yes</v>
          </cell>
          <cell r="I315" t="str">
            <v>AHU-1</v>
          </cell>
          <cell r="J315">
            <v>5.57</v>
          </cell>
          <cell r="K315">
            <v>0</v>
          </cell>
          <cell r="L315">
            <v>9.6875</v>
          </cell>
          <cell r="M315">
            <v>18.579999999999998</v>
          </cell>
          <cell r="N315">
            <v>4.3099999999999996</v>
          </cell>
          <cell r="O315">
            <v>0</v>
          </cell>
          <cell r="P315">
            <v>0</v>
          </cell>
          <cell r="Q315">
            <v>0.04</v>
          </cell>
          <cell r="R315">
            <v>1.0252300508275299E-3</v>
          </cell>
          <cell r="S315">
            <v>0</v>
          </cell>
          <cell r="T315">
            <v>0</v>
          </cell>
        </row>
        <row r="316">
          <cell r="A316" t="str">
            <v>OutPatientHealthCareFLOOR 1 PROCEDURE ROOM</v>
          </cell>
          <cell r="B316" t="str">
            <v>STD2004</v>
          </cell>
          <cell r="C316" t="str">
            <v>Buffalo</v>
          </cell>
          <cell r="D316" t="str">
            <v>OutPatientHealthCare</v>
          </cell>
          <cell r="E316" t="str">
            <v>FLOOR 1 PROCEDURE ROOM</v>
          </cell>
          <cell r="F316">
            <v>26.48</v>
          </cell>
          <cell r="G316">
            <v>1</v>
          </cell>
          <cell r="H316" t="str">
            <v>Yes</v>
          </cell>
          <cell r="I316" t="str">
            <v>AHU-1</v>
          </cell>
          <cell r="J316">
            <v>17.649999999999999</v>
          </cell>
          <cell r="K316">
            <v>5.57</v>
          </cell>
          <cell r="L316">
            <v>16.145800000000001</v>
          </cell>
          <cell r="M316">
            <v>4.6399999999999997</v>
          </cell>
          <cell r="N316">
            <v>32.29</v>
          </cell>
          <cell r="O316">
            <v>0</v>
          </cell>
          <cell r="P316">
            <v>0.1076</v>
          </cell>
          <cell r="R316">
            <v>1.0252300508275299E-3</v>
          </cell>
          <cell r="S316">
            <v>0</v>
          </cell>
          <cell r="T316">
            <v>0</v>
          </cell>
        </row>
        <row r="317">
          <cell r="A317" t="str">
            <v>OutPatientHealthCareFLOOR 1 RECEPTION</v>
          </cell>
          <cell r="B317" t="str">
            <v>STD2004</v>
          </cell>
          <cell r="C317" t="str">
            <v>Buffalo</v>
          </cell>
          <cell r="D317" t="str">
            <v>OutPatientHealthCare</v>
          </cell>
          <cell r="E317" t="str">
            <v>FLOOR 1 RECEPTION</v>
          </cell>
          <cell r="F317">
            <v>47.29</v>
          </cell>
          <cell r="G317">
            <v>1</v>
          </cell>
          <cell r="H317" t="str">
            <v>Yes</v>
          </cell>
          <cell r="I317" t="str">
            <v>AHU-1</v>
          </cell>
          <cell r="J317">
            <v>12.08</v>
          </cell>
          <cell r="K317">
            <v>3.34</v>
          </cell>
          <cell r="L317">
            <v>13.9931</v>
          </cell>
          <cell r="M317">
            <v>3.1</v>
          </cell>
          <cell r="N317">
            <v>11.84</v>
          </cell>
          <cell r="O317">
            <v>0</v>
          </cell>
          <cell r="P317">
            <v>0.1081</v>
          </cell>
          <cell r="R317">
            <v>1.0252300508275299E-3</v>
          </cell>
          <cell r="S317">
            <v>0</v>
          </cell>
          <cell r="T317">
            <v>0</v>
          </cell>
        </row>
        <row r="318">
          <cell r="A318" t="str">
            <v>OutPatientHealthCareFLOOR 1 RECEPTION HALL</v>
          </cell>
          <cell r="B318" t="str">
            <v>STD2004</v>
          </cell>
          <cell r="C318" t="str">
            <v>Buffalo</v>
          </cell>
          <cell r="D318" t="str">
            <v>OutPatientHealthCare</v>
          </cell>
          <cell r="E318" t="str">
            <v>FLOOR 1 RECEPTION HALL</v>
          </cell>
          <cell r="F318">
            <v>11.89</v>
          </cell>
          <cell r="G318">
            <v>1</v>
          </cell>
          <cell r="H318" t="str">
            <v>Yes</v>
          </cell>
          <cell r="I318" t="str">
            <v>AHU-1</v>
          </cell>
          <cell r="J318">
            <v>0</v>
          </cell>
          <cell r="K318">
            <v>0</v>
          </cell>
          <cell r="L318">
            <v>10.3041</v>
          </cell>
          <cell r="M318">
            <v>18.579999999999998</v>
          </cell>
          <cell r="N318">
            <v>4.3099999999999996</v>
          </cell>
          <cell r="O318">
            <v>0</v>
          </cell>
          <cell r="P318">
            <v>3.0000000000000001E-3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OutPatientHealthCareFLOOR 1 RECOVERY ROOM</v>
          </cell>
          <cell r="B319" t="str">
            <v>STD2004</v>
          </cell>
          <cell r="C319" t="str">
            <v>Buffalo</v>
          </cell>
          <cell r="D319" t="str">
            <v>OutPatientHealthCare</v>
          </cell>
          <cell r="E319" t="str">
            <v>FLOOR 1 RECOVERY ROOM</v>
          </cell>
          <cell r="F319">
            <v>50.17</v>
          </cell>
          <cell r="G319">
            <v>1</v>
          </cell>
          <cell r="H319" t="str">
            <v>Yes</v>
          </cell>
          <cell r="I319" t="str">
            <v>AHU-1</v>
          </cell>
          <cell r="J319">
            <v>41.81</v>
          </cell>
          <cell r="K319">
            <v>8.92</v>
          </cell>
          <cell r="L319">
            <v>8.6111000000000004</v>
          </cell>
          <cell r="M319">
            <v>4.6399999999999997</v>
          </cell>
          <cell r="N319">
            <v>32.29</v>
          </cell>
          <cell r="O319">
            <v>0</v>
          </cell>
          <cell r="P319">
            <v>0.16139999999999999</v>
          </cell>
          <cell r="R319">
            <v>1.0252300508275299E-3</v>
          </cell>
          <cell r="S319">
            <v>0</v>
          </cell>
          <cell r="T319">
            <v>0</v>
          </cell>
        </row>
        <row r="320">
          <cell r="A320" t="str">
            <v>OutPatientHealthCareFLOOR 1 SCHEDULING</v>
          </cell>
          <cell r="B320" t="str">
            <v>STD2004</v>
          </cell>
          <cell r="C320" t="str">
            <v>Buffalo</v>
          </cell>
          <cell r="D320" t="str">
            <v>OutPatientHealthCare</v>
          </cell>
          <cell r="E320" t="str">
            <v>FLOOR 1 SCHEDULING</v>
          </cell>
          <cell r="F320">
            <v>11.06</v>
          </cell>
          <cell r="G320">
            <v>1</v>
          </cell>
          <cell r="H320" t="str">
            <v>Yes</v>
          </cell>
          <cell r="I320" t="str">
            <v>AHU-1</v>
          </cell>
          <cell r="J320">
            <v>6.5</v>
          </cell>
          <cell r="K320">
            <v>0.74</v>
          </cell>
          <cell r="L320">
            <v>11.840299999999999</v>
          </cell>
          <cell r="M320">
            <v>18.579999999999998</v>
          </cell>
          <cell r="N320">
            <v>11.84</v>
          </cell>
          <cell r="O320">
            <v>0</v>
          </cell>
          <cell r="P320">
            <v>5.5999999999999999E-3</v>
          </cell>
          <cell r="R320">
            <v>1.0252300508275299E-3</v>
          </cell>
          <cell r="S320">
            <v>0</v>
          </cell>
          <cell r="T320">
            <v>0</v>
          </cell>
        </row>
        <row r="321">
          <cell r="A321" t="str">
            <v>OutPatientHealthCareFLOOR 1 SCRUB</v>
          </cell>
          <cell r="B321" t="str">
            <v>STD2004</v>
          </cell>
          <cell r="C321" t="str">
            <v>Buffalo</v>
          </cell>
          <cell r="D321" t="str">
            <v>OutPatientHealthCare</v>
          </cell>
          <cell r="E321" t="str">
            <v>FLOOR 1 SCRUB</v>
          </cell>
          <cell r="F321">
            <v>7.8</v>
          </cell>
          <cell r="G321">
            <v>1</v>
          </cell>
          <cell r="H321" t="str">
            <v>Yes</v>
          </cell>
          <cell r="I321" t="str">
            <v>AHU-1</v>
          </cell>
          <cell r="J321">
            <v>0</v>
          </cell>
          <cell r="K321">
            <v>0</v>
          </cell>
          <cell r="L321">
            <v>10.3041</v>
          </cell>
          <cell r="M321">
            <v>18.579999999999998</v>
          </cell>
          <cell r="N321">
            <v>4.3099999999999996</v>
          </cell>
          <cell r="O321">
            <v>0</v>
          </cell>
          <cell r="P321">
            <v>2E-3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OutPatientHealthCareFLOOR 1 SOIL</v>
          </cell>
          <cell r="B322" t="str">
            <v>STD2004</v>
          </cell>
          <cell r="C322" t="str">
            <v>Buffalo</v>
          </cell>
          <cell r="D322" t="str">
            <v>OutPatientHealthCare</v>
          </cell>
          <cell r="E322" t="str">
            <v>FLOOR 1 SOIL</v>
          </cell>
          <cell r="F322">
            <v>11.71</v>
          </cell>
          <cell r="G322">
            <v>1</v>
          </cell>
          <cell r="H322" t="str">
            <v>Yes</v>
          </cell>
          <cell r="I322" t="str">
            <v>AHU-1</v>
          </cell>
          <cell r="J322">
            <v>0</v>
          </cell>
          <cell r="K322">
            <v>0</v>
          </cell>
          <cell r="L322">
            <v>16.145800000000001</v>
          </cell>
          <cell r="M322">
            <v>4.6399999999999997</v>
          </cell>
          <cell r="N322">
            <v>21.53</v>
          </cell>
          <cell r="O322">
            <v>0</v>
          </cell>
          <cell r="P322">
            <v>1.78E-2</v>
          </cell>
          <cell r="Q322">
            <v>0.1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OutPatientHealthCareFLOOR 1 SOIL HOLD</v>
          </cell>
          <cell r="B323" t="str">
            <v>STD2004</v>
          </cell>
          <cell r="C323" t="str">
            <v>Buffalo</v>
          </cell>
          <cell r="D323" t="str">
            <v>OutPatientHealthCare</v>
          </cell>
          <cell r="E323" t="str">
            <v>FLOOR 1 SOIL HOLD</v>
          </cell>
          <cell r="F323">
            <v>5.2</v>
          </cell>
          <cell r="G323">
            <v>1</v>
          </cell>
          <cell r="H323" t="str">
            <v>Yes</v>
          </cell>
          <cell r="I323" t="str">
            <v>AHU-1</v>
          </cell>
          <cell r="J323">
            <v>0</v>
          </cell>
          <cell r="K323">
            <v>0</v>
          </cell>
          <cell r="L323">
            <v>16.145800000000001</v>
          </cell>
          <cell r="M323">
            <v>4.6399999999999997</v>
          </cell>
          <cell r="N323">
            <v>21.53</v>
          </cell>
          <cell r="O323">
            <v>0</v>
          </cell>
          <cell r="P323">
            <v>7.9000000000000008E-3</v>
          </cell>
          <cell r="Q323">
            <v>0.04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OutPatientHealthCareFLOOR 1 SOIL WORK</v>
          </cell>
          <cell r="B324" t="str">
            <v>STD2004</v>
          </cell>
          <cell r="C324" t="str">
            <v>Buffalo</v>
          </cell>
          <cell r="D324" t="str">
            <v>OutPatientHealthCare</v>
          </cell>
          <cell r="E324" t="str">
            <v>FLOOR 1 SOIL WORK</v>
          </cell>
          <cell r="F324">
            <v>16.72</v>
          </cell>
          <cell r="G324">
            <v>1</v>
          </cell>
          <cell r="H324" t="str">
            <v>Yes</v>
          </cell>
          <cell r="I324" t="str">
            <v>AHU-1</v>
          </cell>
          <cell r="J324">
            <v>0</v>
          </cell>
          <cell r="K324">
            <v>0</v>
          </cell>
          <cell r="L324">
            <v>16.145800000000001</v>
          </cell>
          <cell r="M324">
            <v>4.6399999999999997</v>
          </cell>
          <cell r="N324">
            <v>21.53</v>
          </cell>
          <cell r="O324">
            <v>0</v>
          </cell>
          <cell r="P324">
            <v>2.5499999999999998E-2</v>
          </cell>
          <cell r="Q324">
            <v>0.14000000000000001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OutPatientHealthCareFLOOR 1 STEP DOWN</v>
          </cell>
          <cell r="B325" t="str">
            <v>STD2004</v>
          </cell>
          <cell r="C325" t="str">
            <v>Buffalo</v>
          </cell>
          <cell r="D325" t="str">
            <v>OutPatientHealthCare</v>
          </cell>
          <cell r="E325" t="str">
            <v>FLOOR 1 STEP DOWN</v>
          </cell>
          <cell r="F325">
            <v>27.87</v>
          </cell>
          <cell r="G325">
            <v>1</v>
          </cell>
          <cell r="H325" t="str">
            <v>Yes</v>
          </cell>
          <cell r="I325" t="str">
            <v>AHU-1</v>
          </cell>
          <cell r="J325">
            <v>34.369999999999997</v>
          </cell>
          <cell r="K325">
            <v>6.69</v>
          </cell>
          <cell r="L325">
            <v>8.6111000000000004</v>
          </cell>
          <cell r="M325">
            <v>4.6399999999999997</v>
          </cell>
          <cell r="N325">
            <v>32.29</v>
          </cell>
          <cell r="O325">
            <v>0</v>
          </cell>
          <cell r="P325">
            <v>8.9700000000000002E-2</v>
          </cell>
          <cell r="R325">
            <v>1.0252300508275299E-3</v>
          </cell>
          <cell r="S325">
            <v>0</v>
          </cell>
          <cell r="T325">
            <v>0</v>
          </cell>
        </row>
        <row r="326">
          <cell r="A326" t="str">
            <v>OutPatientHealthCareFLOOR 1 STERILE HALL</v>
          </cell>
          <cell r="B326" t="str">
            <v>STD2004</v>
          </cell>
          <cell r="C326" t="str">
            <v>Buffalo</v>
          </cell>
          <cell r="D326" t="str">
            <v>OutPatientHealthCare</v>
          </cell>
          <cell r="E326" t="str">
            <v>FLOOR 1 STERILE HALL</v>
          </cell>
          <cell r="F326">
            <v>57.23</v>
          </cell>
          <cell r="G326">
            <v>1</v>
          </cell>
          <cell r="H326" t="str">
            <v>Yes</v>
          </cell>
          <cell r="I326" t="str">
            <v>AHU-1</v>
          </cell>
          <cell r="J326">
            <v>7.43</v>
          </cell>
          <cell r="K326">
            <v>2.23</v>
          </cell>
          <cell r="L326">
            <v>10.3041</v>
          </cell>
          <cell r="M326">
            <v>18.579999999999998</v>
          </cell>
          <cell r="N326">
            <v>4.3099999999999996</v>
          </cell>
          <cell r="O326">
            <v>0</v>
          </cell>
          <cell r="P326">
            <v>1.4500000000000001E-2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OutPatientHealthCareFLOOR 1 STERILE STORAGE</v>
          </cell>
          <cell r="B327" t="str">
            <v>STD2004</v>
          </cell>
          <cell r="C327" t="str">
            <v>Buffalo</v>
          </cell>
          <cell r="D327" t="str">
            <v>OutPatientHealthCare</v>
          </cell>
          <cell r="E327" t="str">
            <v>FLOOR 1 STERILE STORAGE</v>
          </cell>
          <cell r="F327">
            <v>36.79</v>
          </cell>
          <cell r="G327">
            <v>1</v>
          </cell>
          <cell r="H327" t="str">
            <v>Yes</v>
          </cell>
          <cell r="I327" t="str">
            <v>AHU-1</v>
          </cell>
          <cell r="J327">
            <v>0</v>
          </cell>
          <cell r="K327">
            <v>0</v>
          </cell>
          <cell r="L327">
            <v>9.6875</v>
          </cell>
          <cell r="M327">
            <v>46.45</v>
          </cell>
          <cell r="N327">
            <v>1.08</v>
          </cell>
          <cell r="O327">
            <v>0</v>
          </cell>
          <cell r="P327">
            <v>2.8000000000000001E-2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OutPatientHealthCareFLOOR 1 STORAGE</v>
          </cell>
          <cell r="B328" t="str">
            <v>STD2004</v>
          </cell>
          <cell r="C328" t="str">
            <v>Buffalo</v>
          </cell>
          <cell r="D328" t="str">
            <v>OutPatientHealthCare</v>
          </cell>
          <cell r="E328" t="str">
            <v>FLOOR 1 STORAGE</v>
          </cell>
          <cell r="F328">
            <v>85.47</v>
          </cell>
          <cell r="G328">
            <v>1</v>
          </cell>
          <cell r="H328" t="str">
            <v>Yes</v>
          </cell>
          <cell r="I328" t="str">
            <v>AHU-1</v>
          </cell>
          <cell r="J328">
            <v>58.53</v>
          </cell>
          <cell r="K328">
            <v>8.36</v>
          </cell>
          <cell r="L328">
            <v>9.6875</v>
          </cell>
          <cell r="M328">
            <v>46.45</v>
          </cell>
          <cell r="N328">
            <v>1.08</v>
          </cell>
          <cell r="O328">
            <v>0</v>
          </cell>
          <cell r="P328">
            <v>6.5100000000000005E-2</v>
          </cell>
          <cell r="R328">
            <v>1.0252300508275299E-3</v>
          </cell>
          <cell r="S328">
            <v>0</v>
          </cell>
          <cell r="T328">
            <v>0</v>
          </cell>
        </row>
        <row r="329">
          <cell r="A329" t="str">
            <v>OutPatientHealthCareFLOOR 1 SUB-STERILE</v>
          </cell>
          <cell r="B329" t="str">
            <v>STD2004</v>
          </cell>
          <cell r="C329" t="str">
            <v>Buffalo</v>
          </cell>
          <cell r="D329" t="str">
            <v>OutPatientHealthCare</v>
          </cell>
          <cell r="E329" t="str">
            <v>FLOOR 1 SUB-STERILE</v>
          </cell>
          <cell r="F329">
            <v>18.21</v>
          </cell>
          <cell r="G329">
            <v>1</v>
          </cell>
          <cell r="H329" t="str">
            <v>Yes</v>
          </cell>
          <cell r="I329" t="str">
            <v>AHU-1</v>
          </cell>
          <cell r="J329">
            <v>13.01</v>
          </cell>
          <cell r="K329">
            <v>2.98</v>
          </cell>
          <cell r="L329">
            <v>10.3041</v>
          </cell>
          <cell r="M329">
            <v>18.579999999999998</v>
          </cell>
          <cell r="N329">
            <v>4.3099999999999996</v>
          </cell>
          <cell r="O329">
            <v>0</v>
          </cell>
          <cell r="P329">
            <v>4.5999999999999999E-3</v>
          </cell>
          <cell r="R329">
            <v>1.0252300508275299E-3</v>
          </cell>
          <cell r="S329">
            <v>0</v>
          </cell>
          <cell r="T329">
            <v>0</v>
          </cell>
        </row>
        <row r="330">
          <cell r="A330" t="str">
            <v>OutPatientHealthCareFLOOR 1 UTILITY HALL</v>
          </cell>
          <cell r="B330" t="str">
            <v>STD2004</v>
          </cell>
          <cell r="C330" t="str">
            <v>Buffalo</v>
          </cell>
          <cell r="D330" t="str">
            <v>OutPatientHealthCare</v>
          </cell>
          <cell r="E330" t="str">
            <v>FLOOR 1 UTILITY HALL</v>
          </cell>
          <cell r="F330">
            <v>23.78</v>
          </cell>
          <cell r="G330">
            <v>1</v>
          </cell>
          <cell r="H330" t="str">
            <v>Yes</v>
          </cell>
          <cell r="I330" t="str">
            <v>AHU-1</v>
          </cell>
          <cell r="J330">
            <v>14.86</v>
          </cell>
          <cell r="K330">
            <v>0</v>
          </cell>
          <cell r="L330">
            <v>10.3041</v>
          </cell>
          <cell r="M330">
            <v>18.579999999999998</v>
          </cell>
          <cell r="N330">
            <v>4.3099999999999996</v>
          </cell>
          <cell r="O330">
            <v>0</v>
          </cell>
          <cell r="P330">
            <v>6.0000000000000001E-3</v>
          </cell>
          <cell r="R330">
            <v>1.0252300508275299E-3</v>
          </cell>
          <cell r="S330">
            <v>0</v>
          </cell>
          <cell r="T330">
            <v>0</v>
          </cell>
        </row>
        <row r="331">
          <cell r="A331" t="str">
            <v>OutPatientHealthCareFLOOR 1 UTILITY JANITOR</v>
          </cell>
          <cell r="B331" t="str">
            <v>STD2004</v>
          </cell>
          <cell r="C331" t="str">
            <v>Buffalo</v>
          </cell>
          <cell r="D331" t="str">
            <v>OutPatientHealthCare</v>
          </cell>
          <cell r="E331" t="str">
            <v>FLOOR 1 UTILITY JANITOR</v>
          </cell>
          <cell r="F331">
            <v>3.9</v>
          </cell>
          <cell r="G331">
            <v>1</v>
          </cell>
          <cell r="H331" t="str">
            <v>Yes</v>
          </cell>
          <cell r="I331" t="str">
            <v>AHU-1</v>
          </cell>
          <cell r="J331">
            <v>0</v>
          </cell>
          <cell r="K331">
            <v>0</v>
          </cell>
          <cell r="L331">
            <v>9.6875</v>
          </cell>
          <cell r="M331">
            <v>46.45</v>
          </cell>
          <cell r="N331">
            <v>1.08</v>
          </cell>
          <cell r="O331">
            <v>0</v>
          </cell>
          <cell r="P331">
            <v>3.0000000000000001E-3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OutPatientHealthCareFLOOR 1 UTILITY ROOM</v>
          </cell>
          <cell r="B332" t="str">
            <v>STD2004</v>
          </cell>
          <cell r="C332" t="str">
            <v>Buffalo</v>
          </cell>
          <cell r="D332" t="str">
            <v>OutPatientHealthCare</v>
          </cell>
          <cell r="E332" t="str">
            <v>FLOOR 1 UTILITY ROOM</v>
          </cell>
          <cell r="F332">
            <v>33.450000000000003</v>
          </cell>
          <cell r="G332">
            <v>1</v>
          </cell>
          <cell r="H332" t="str">
            <v>Yes</v>
          </cell>
          <cell r="I332" t="str">
            <v>AHU-1</v>
          </cell>
          <cell r="J332">
            <v>16.72</v>
          </cell>
          <cell r="K332">
            <v>2.23</v>
          </cell>
          <cell r="L332">
            <v>9.6875</v>
          </cell>
          <cell r="M332">
            <v>46.45</v>
          </cell>
          <cell r="N332">
            <v>1.08</v>
          </cell>
          <cell r="O332">
            <v>0</v>
          </cell>
          <cell r="P332">
            <v>2.5499999999999998E-2</v>
          </cell>
          <cell r="R332">
            <v>1.0252300508275299E-3</v>
          </cell>
          <cell r="S332">
            <v>0</v>
          </cell>
          <cell r="T332">
            <v>0</v>
          </cell>
        </row>
        <row r="333">
          <cell r="A333" t="str">
            <v>OutPatientHealthCareFLOOR 1 VESTIBULE</v>
          </cell>
          <cell r="B333" t="str">
            <v>STD2004</v>
          </cell>
          <cell r="C333" t="str">
            <v>Buffalo</v>
          </cell>
          <cell r="D333" t="str">
            <v>OutPatientHealthCare</v>
          </cell>
          <cell r="E333" t="str">
            <v>FLOOR 1 VESTIBULE</v>
          </cell>
          <cell r="F333">
            <v>6.69</v>
          </cell>
          <cell r="G333">
            <v>1</v>
          </cell>
          <cell r="H333" t="str">
            <v>Yes</v>
          </cell>
          <cell r="I333" t="str">
            <v>AHU-1</v>
          </cell>
          <cell r="J333">
            <v>7.43</v>
          </cell>
          <cell r="K333">
            <v>0</v>
          </cell>
          <cell r="L333">
            <v>10.3041</v>
          </cell>
          <cell r="M333">
            <v>18.579999999999998</v>
          </cell>
          <cell r="N333">
            <v>4.3099999999999996</v>
          </cell>
          <cell r="O333">
            <v>0</v>
          </cell>
          <cell r="P333">
            <v>1.6999999999999999E-3</v>
          </cell>
          <cell r="R333">
            <v>1.0252300508275299E-3</v>
          </cell>
          <cell r="S333">
            <v>0</v>
          </cell>
          <cell r="T333">
            <v>1.186002811</v>
          </cell>
        </row>
        <row r="334">
          <cell r="A334" t="str">
            <v>OutPatientHealthCareFLOOR 2 CONFERENCE</v>
          </cell>
          <cell r="B334" t="str">
            <v>STD2004</v>
          </cell>
          <cell r="C334" t="str">
            <v>Buffalo</v>
          </cell>
          <cell r="D334" t="str">
            <v>OutPatientHealthCare</v>
          </cell>
          <cell r="E334" t="str">
            <v>FLOOR 2 CONFERENCE</v>
          </cell>
          <cell r="F334">
            <v>31.22</v>
          </cell>
          <cell r="G334">
            <v>1</v>
          </cell>
          <cell r="H334" t="str">
            <v>Yes</v>
          </cell>
          <cell r="I334" t="str">
            <v>AHU-2</v>
          </cell>
          <cell r="J334">
            <v>37.159999999999997</v>
          </cell>
          <cell r="K334">
            <v>8.92</v>
          </cell>
          <cell r="L334">
            <v>13.9931</v>
          </cell>
          <cell r="M334">
            <v>1.86</v>
          </cell>
          <cell r="N334">
            <v>10.76</v>
          </cell>
          <cell r="O334">
            <v>0</v>
          </cell>
          <cell r="P334">
            <v>0</v>
          </cell>
          <cell r="R334">
            <v>1.0252300508275299E-3</v>
          </cell>
          <cell r="S334">
            <v>0</v>
          </cell>
          <cell r="T334">
            <v>0</v>
          </cell>
        </row>
        <row r="335">
          <cell r="A335" t="str">
            <v>OutPatientHealthCareFLOOR 2 CONFERENCE TOILET</v>
          </cell>
          <cell r="B335" t="str">
            <v>STD2004</v>
          </cell>
          <cell r="C335" t="str">
            <v>Buffalo</v>
          </cell>
          <cell r="D335" t="str">
            <v>OutPatientHealthCare</v>
          </cell>
          <cell r="E335" t="str">
            <v>FLOOR 2 CONFERENCE TOILET</v>
          </cell>
          <cell r="F335">
            <v>5.95</v>
          </cell>
          <cell r="G335">
            <v>1</v>
          </cell>
          <cell r="H335" t="str">
            <v>Yes</v>
          </cell>
          <cell r="I335" t="str">
            <v>AHU-2</v>
          </cell>
          <cell r="J335">
            <v>0</v>
          </cell>
          <cell r="K335">
            <v>0</v>
          </cell>
          <cell r="L335">
            <v>9.6875</v>
          </cell>
          <cell r="M335">
            <v>18.579999999999998</v>
          </cell>
          <cell r="N335">
            <v>4.3099999999999996</v>
          </cell>
          <cell r="O335">
            <v>0</v>
          </cell>
          <cell r="P335">
            <v>0</v>
          </cell>
          <cell r="Q335">
            <v>0.05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OutPatientHealthCareFLOOR 2 DICTATION</v>
          </cell>
          <cell r="B336" t="str">
            <v>STD2004</v>
          </cell>
          <cell r="C336" t="str">
            <v>Buffalo</v>
          </cell>
          <cell r="D336" t="str">
            <v>OutPatientHealthCare</v>
          </cell>
          <cell r="E336" t="str">
            <v>FLOOR 2 DICTATION</v>
          </cell>
          <cell r="F336">
            <v>6.5</v>
          </cell>
          <cell r="G336">
            <v>1</v>
          </cell>
          <cell r="H336" t="str">
            <v>Yes</v>
          </cell>
          <cell r="I336" t="str">
            <v>AHU-2</v>
          </cell>
          <cell r="J336">
            <v>0</v>
          </cell>
          <cell r="K336">
            <v>0</v>
          </cell>
          <cell r="L336">
            <v>11.840299999999999</v>
          </cell>
          <cell r="M336">
            <v>18.579999999999998</v>
          </cell>
          <cell r="N336">
            <v>11.84</v>
          </cell>
          <cell r="O336">
            <v>0</v>
          </cell>
          <cell r="P336">
            <v>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OutPatientHealthCareFLOOR 2 EXAM 1</v>
          </cell>
          <cell r="B337" t="str">
            <v>STD2004</v>
          </cell>
          <cell r="C337" t="str">
            <v>Buffalo</v>
          </cell>
          <cell r="D337" t="str">
            <v>OutPatientHealthCare</v>
          </cell>
          <cell r="E337" t="str">
            <v>FLOOR 2 EXAM 1</v>
          </cell>
          <cell r="F337">
            <v>33.450000000000003</v>
          </cell>
          <cell r="G337">
            <v>1</v>
          </cell>
          <cell r="H337" t="str">
            <v>Yes</v>
          </cell>
          <cell r="I337" t="str">
            <v>AHU-2</v>
          </cell>
          <cell r="J337">
            <v>39.020000000000003</v>
          </cell>
          <cell r="K337">
            <v>8.92</v>
          </cell>
          <cell r="L337">
            <v>16.145800000000001</v>
          </cell>
          <cell r="M337">
            <v>4.6399999999999997</v>
          </cell>
          <cell r="N337">
            <v>11.84</v>
          </cell>
          <cell r="O337">
            <v>0</v>
          </cell>
          <cell r="P337">
            <v>0</v>
          </cell>
          <cell r="R337">
            <v>1.0252300508275299E-3</v>
          </cell>
          <cell r="S337">
            <v>0</v>
          </cell>
          <cell r="T337">
            <v>0</v>
          </cell>
        </row>
        <row r="338">
          <cell r="A338" t="str">
            <v>OutPatientHealthCareFLOOR 2 EXAM 2</v>
          </cell>
          <cell r="B338" t="str">
            <v>STD2004</v>
          </cell>
          <cell r="C338" t="str">
            <v>Buffalo</v>
          </cell>
          <cell r="D338" t="str">
            <v>OutPatientHealthCare</v>
          </cell>
          <cell r="E338" t="str">
            <v>FLOOR 2 EXAM 2</v>
          </cell>
          <cell r="F338">
            <v>50.17</v>
          </cell>
          <cell r="G338">
            <v>1</v>
          </cell>
          <cell r="H338" t="str">
            <v>Yes</v>
          </cell>
          <cell r="I338" t="str">
            <v>AHU-2</v>
          </cell>
          <cell r="J338">
            <v>16.72</v>
          </cell>
          <cell r="K338">
            <v>3.72</v>
          </cell>
          <cell r="L338">
            <v>16.145800000000001</v>
          </cell>
          <cell r="M338">
            <v>4.6399999999999997</v>
          </cell>
          <cell r="N338">
            <v>11.84</v>
          </cell>
          <cell r="O338">
            <v>0</v>
          </cell>
          <cell r="P338">
            <v>0</v>
          </cell>
          <cell r="R338">
            <v>1.0252300508275299E-3</v>
          </cell>
          <cell r="S338">
            <v>0</v>
          </cell>
          <cell r="T338">
            <v>0</v>
          </cell>
        </row>
        <row r="339">
          <cell r="A339" t="str">
            <v>OutPatientHealthCareFLOOR 2 EXAM 3</v>
          </cell>
          <cell r="B339" t="str">
            <v>STD2004</v>
          </cell>
          <cell r="C339" t="str">
            <v>Buffalo</v>
          </cell>
          <cell r="D339" t="str">
            <v>OutPatientHealthCare</v>
          </cell>
          <cell r="E339" t="str">
            <v>FLOOR 2 EXAM 3</v>
          </cell>
          <cell r="F339">
            <v>66.89</v>
          </cell>
          <cell r="G339">
            <v>1</v>
          </cell>
          <cell r="H339" t="str">
            <v>Yes</v>
          </cell>
          <cell r="I339" t="str">
            <v>AHU-2</v>
          </cell>
          <cell r="J339">
            <v>22.3</v>
          </cell>
          <cell r="K339">
            <v>5.95</v>
          </cell>
          <cell r="L339">
            <v>16.145800000000001</v>
          </cell>
          <cell r="M339">
            <v>4.6399999999999997</v>
          </cell>
          <cell r="N339">
            <v>11.84</v>
          </cell>
          <cell r="O339">
            <v>0</v>
          </cell>
          <cell r="P339">
            <v>0</v>
          </cell>
          <cell r="R339">
            <v>1.0252300508275299E-3</v>
          </cell>
          <cell r="S339">
            <v>0</v>
          </cell>
          <cell r="T339">
            <v>0</v>
          </cell>
        </row>
        <row r="340">
          <cell r="A340" t="str">
            <v>OutPatientHealthCareFLOOR 2 EXAM 4</v>
          </cell>
          <cell r="B340" t="str">
            <v>STD2004</v>
          </cell>
          <cell r="C340" t="str">
            <v>Buffalo</v>
          </cell>
          <cell r="D340" t="str">
            <v>OutPatientHealthCare</v>
          </cell>
          <cell r="E340" t="str">
            <v>FLOOR 2 EXAM 4</v>
          </cell>
          <cell r="F340">
            <v>7.8</v>
          </cell>
          <cell r="G340">
            <v>1</v>
          </cell>
          <cell r="H340" t="str">
            <v>Yes</v>
          </cell>
          <cell r="I340" t="str">
            <v>AHU-2</v>
          </cell>
          <cell r="J340">
            <v>6.5</v>
          </cell>
          <cell r="K340">
            <v>2.23</v>
          </cell>
          <cell r="L340">
            <v>16.145800000000001</v>
          </cell>
          <cell r="M340">
            <v>4.6399999999999997</v>
          </cell>
          <cell r="N340">
            <v>11.84</v>
          </cell>
          <cell r="O340">
            <v>0</v>
          </cell>
          <cell r="P340">
            <v>0</v>
          </cell>
          <cell r="R340">
            <v>1.0252300508275299E-3</v>
          </cell>
          <cell r="S340">
            <v>0</v>
          </cell>
          <cell r="T340">
            <v>0</v>
          </cell>
        </row>
        <row r="341">
          <cell r="A341" t="str">
            <v>OutPatientHealthCareFLOOR 2 EXAM 5</v>
          </cell>
          <cell r="B341" t="str">
            <v>STD2004</v>
          </cell>
          <cell r="C341" t="str">
            <v>Buffalo</v>
          </cell>
          <cell r="D341" t="str">
            <v>OutPatientHealthCare</v>
          </cell>
          <cell r="E341" t="str">
            <v>FLOOR 2 EXAM 5</v>
          </cell>
          <cell r="F341">
            <v>32.520000000000003</v>
          </cell>
          <cell r="G341">
            <v>1</v>
          </cell>
          <cell r="H341" t="str">
            <v>Yes</v>
          </cell>
          <cell r="I341" t="str">
            <v>AHU-2</v>
          </cell>
          <cell r="J341">
            <v>23.23</v>
          </cell>
          <cell r="K341">
            <v>5.95</v>
          </cell>
          <cell r="L341">
            <v>16.145800000000001</v>
          </cell>
          <cell r="M341">
            <v>4.6399999999999997</v>
          </cell>
          <cell r="N341">
            <v>11.84</v>
          </cell>
          <cell r="O341">
            <v>0</v>
          </cell>
          <cell r="P341">
            <v>0</v>
          </cell>
          <cell r="R341">
            <v>1.0252300508275299E-3</v>
          </cell>
          <cell r="S341">
            <v>0</v>
          </cell>
          <cell r="T341">
            <v>0</v>
          </cell>
        </row>
        <row r="342">
          <cell r="A342" t="str">
            <v>OutPatientHealthCareFLOOR 2 EXAM 6</v>
          </cell>
          <cell r="B342" t="str">
            <v>STD2004</v>
          </cell>
          <cell r="C342" t="str">
            <v>Buffalo</v>
          </cell>
          <cell r="D342" t="str">
            <v>OutPatientHealthCare</v>
          </cell>
          <cell r="E342" t="str">
            <v>FLOOR 2 EXAM 6</v>
          </cell>
          <cell r="F342">
            <v>20.9</v>
          </cell>
          <cell r="G342">
            <v>1</v>
          </cell>
          <cell r="H342" t="str">
            <v>Yes</v>
          </cell>
          <cell r="I342" t="str">
            <v>AHU-2</v>
          </cell>
          <cell r="J342">
            <v>13.94</v>
          </cell>
          <cell r="K342">
            <v>4.18</v>
          </cell>
          <cell r="L342">
            <v>16.145800000000001</v>
          </cell>
          <cell r="M342">
            <v>4.6399999999999997</v>
          </cell>
          <cell r="N342">
            <v>11.84</v>
          </cell>
          <cell r="O342">
            <v>0</v>
          </cell>
          <cell r="P342">
            <v>0</v>
          </cell>
          <cell r="R342">
            <v>1.0252300508275299E-3</v>
          </cell>
          <cell r="S342">
            <v>0</v>
          </cell>
          <cell r="T342">
            <v>0</v>
          </cell>
        </row>
        <row r="343">
          <cell r="A343" t="str">
            <v>OutPatientHealthCareFLOOR 2 EXAM 7</v>
          </cell>
          <cell r="B343" t="str">
            <v>STD2004</v>
          </cell>
          <cell r="C343" t="str">
            <v>Buffalo</v>
          </cell>
          <cell r="D343" t="str">
            <v>OutPatientHealthCare</v>
          </cell>
          <cell r="E343" t="str">
            <v>FLOOR 2 EXAM 7</v>
          </cell>
          <cell r="F343">
            <v>73.58</v>
          </cell>
          <cell r="G343">
            <v>1</v>
          </cell>
          <cell r="H343" t="str">
            <v>Yes</v>
          </cell>
          <cell r="I343" t="str">
            <v>AHU-2</v>
          </cell>
          <cell r="J343">
            <v>22.3</v>
          </cell>
          <cell r="K343">
            <v>5.57</v>
          </cell>
          <cell r="L343">
            <v>16.145800000000001</v>
          </cell>
          <cell r="M343">
            <v>4.6399999999999997</v>
          </cell>
          <cell r="N343">
            <v>11.84</v>
          </cell>
          <cell r="O343">
            <v>0</v>
          </cell>
          <cell r="P343">
            <v>0</v>
          </cell>
          <cell r="R343">
            <v>1.0252300508275299E-3</v>
          </cell>
          <cell r="S343">
            <v>0</v>
          </cell>
          <cell r="T343">
            <v>0</v>
          </cell>
        </row>
        <row r="344">
          <cell r="A344" t="str">
            <v>OutPatientHealthCareFLOOR 2 EXAM 8</v>
          </cell>
          <cell r="B344" t="str">
            <v>STD2004</v>
          </cell>
          <cell r="C344" t="str">
            <v>Buffalo</v>
          </cell>
          <cell r="D344" t="str">
            <v>OutPatientHealthCare</v>
          </cell>
          <cell r="E344" t="str">
            <v>FLOOR 2 EXAM 8</v>
          </cell>
          <cell r="F344">
            <v>25.08</v>
          </cell>
          <cell r="G344">
            <v>1</v>
          </cell>
          <cell r="H344" t="str">
            <v>Yes</v>
          </cell>
          <cell r="I344" t="str">
            <v>AHU-2</v>
          </cell>
          <cell r="J344">
            <v>16.72</v>
          </cell>
          <cell r="K344">
            <v>5.57</v>
          </cell>
          <cell r="L344">
            <v>16.145800000000001</v>
          </cell>
          <cell r="M344">
            <v>4.6399999999999997</v>
          </cell>
          <cell r="N344">
            <v>11.84</v>
          </cell>
          <cell r="O344">
            <v>0</v>
          </cell>
          <cell r="P344">
            <v>0</v>
          </cell>
          <cell r="R344">
            <v>1.0252300508275299E-3</v>
          </cell>
          <cell r="S344">
            <v>0</v>
          </cell>
          <cell r="T344">
            <v>0</v>
          </cell>
        </row>
        <row r="345">
          <cell r="A345" t="str">
            <v>OutPatientHealthCareFLOOR 2 EXAM 9</v>
          </cell>
          <cell r="B345" t="str">
            <v>STD2004</v>
          </cell>
          <cell r="C345" t="str">
            <v>Buffalo</v>
          </cell>
          <cell r="D345" t="str">
            <v>OutPatientHealthCare</v>
          </cell>
          <cell r="E345" t="str">
            <v>FLOOR 2 EXAM 9</v>
          </cell>
          <cell r="F345">
            <v>36.79</v>
          </cell>
          <cell r="G345">
            <v>1</v>
          </cell>
          <cell r="H345" t="str">
            <v>Yes</v>
          </cell>
          <cell r="I345" t="str">
            <v>AHU-2</v>
          </cell>
          <cell r="J345">
            <v>11.15</v>
          </cell>
          <cell r="K345">
            <v>2.79</v>
          </cell>
          <cell r="L345">
            <v>16.145800000000001</v>
          </cell>
          <cell r="M345">
            <v>4.6399999999999997</v>
          </cell>
          <cell r="N345">
            <v>11.84</v>
          </cell>
          <cell r="O345">
            <v>0</v>
          </cell>
          <cell r="P345">
            <v>0</v>
          </cell>
          <cell r="R345">
            <v>1.0252300508275299E-3</v>
          </cell>
          <cell r="S345">
            <v>0</v>
          </cell>
          <cell r="T345">
            <v>0</v>
          </cell>
        </row>
        <row r="346">
          <cell r="A346" t="str">
            <v>OutPatientHealthCareFLOOR 2 EXAM HALL 1</v>
          </cell>
          <cell r="B346" t="str">
            <v>STD2004</v>
          </cell>
          <cell r="C346" t="str">
            <v>Buffalo</v>
          </cell>
          <cell r="D346" t="str">
            <v>OutPatientHealthCare</v>
          </cell>
          <cell r="E346" t="str">
            <v>FLOOR 2 EXAM HALL 1</v>
          </cell>
          <cell r="F346">
            <v>16.72</v>
          </cell>
          <cell r="G346">
            <v>1</v>
          </cell>
          <cell r="H346" t="str">
            <v>Yes</v>
          </cell>
          <cell r="I346" t="str">
            <v>AHU-2</v>
          </cell>
          <cell r="J346">
            <v>5.57</v>
          </cell>
          <cell r="K346">
            <v>0</v>
          </cell>
          <cell r="L346">
            <v>10.3041</v>
          </cell>
          <cell r="M346">
            <v>18.579999999999998</v>
          </cell>
          <cell r="N346">
            <v>4.3099999999999996</v>
          </cell>
          <cell r="O346">
            <v>0</v>
          </cell>
          <cell r="P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OutPatientHealthCareFLOOR 2 EXAM HALL 2</v>
          </cell>
          <cell r="B347" t="str">
            <v>STD2004</v>
          </cell>
          <cell r="C347" t="str">
            <v>Buffalo</v>
          </cell>
          <cell r="D347" t="str">
            <v>OutPatientHealthCare</v>
          </cell>
          <cell r="E347" t="str">
            <v>FLOOR 2 EXAM HALL 2</v>
          </cell>
          <cell r="F347">
            <v>16.72</v>
          </cell>
          <cell r="G347">
            <v>1</v>
          </cell>
          <cell r="H347" t="str">
            <v>Yes</v>
          </cell>
          <cell r="I347" t="str">
            <v>AHU-2</v>
          </cell>
          <cell r="J347">
            <v>5.57</v>
          </cell>
          <cell r="K347">
            <v>0</v>
          </cell>
          <cell r="L347">
            <v>10.3041</v>
          </cell>
          <cell r="M347">
            <v>18.579999999999998</v>
          </cell>
          <cell r="N347">
            <v>4.3099999999999996</v>
          </cell>
          <cell r="O347">
            <v>0</v>
          </cell>
          <cell r="P347">
            <v>0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OutPatientHealthCareFLOOR 2 EXAM HALL 3</v>
          </cell>
          <cell r="B348" t="str">
            <v>STD2004</v>
          </cell>
          <cell r="C348" t="str">
            <v>Buffalo</v>
          </cell>
          <cell r="D348" t="str">
            <v>OutPatientHealthCare</v>
          </cell>
          <cell r="E348" t="str">
            <v>FLOOR 2 EXAM HALL 3</v>
          </cell>
          <cell r="F348">
            <v>16.72</v>
          </cell>
          <cell r="G348">
            <v>1</v>
          </cell>
          <cell r="H348" t="str">
            <v>Yes</v>
          </cell>
          <cell r="I348" t="str">
            <v>AHU-2</v>
          </cell>
          <cell r="J348">
            <v>5.57</v>
          </cell>
          <cell r="K348">
            <v>0</v>
          </cell>
          <cell r="L348">
            <v>10.3041</v>
          </cell>
          <cell r="M348">
            <v>18.579999999999998</v>
          </cell>
          <cell r="N348">
            <v>4.3099999999999996</v>
          </cell>
          <cell r="O348">
            <v>0</v>
          </cell>
          <cell r="P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OutPatientHealthCareFLOOR 2 EXAM HALL 4</v>
          </cell>
          <cell r="B349" t="str">
            <v>STD2004</v>
          </cell>
          <cell r="C349" t="str">
            <v>Buffalo</v>
          </cell>
          <cell r="D349" t="str">
            <v>OutPatientHealthCare</v>
          </cell>
          <cell r="E349" t="str">
            <v>FLOOR 2 EXAM HALL 4</v>
          </cell>
          <cell r="F349">
            <v>18.39</v>
          </cell>
          <cell r="G349">
            <v>1</v>
          </cell>
          <cell r="H349" t="str">
            <v>Yes</v>
          </cell>
          <cell r="I349" t="str">
            <v>AHU-2</v>
          </cell>
          <cell r="J349">
            <v>5.57</v>
          </cell>
          <cell r="K349">
            <v>0</v>
          </cell>
          <cell r="L349">
            <v>10.3041</v>
          </cell>
          <cell r="M349">
            <v>18.579999999999998</v>
          </cell>
          <cell r="N349">
            <v>4.3099999999999996</v>
          </cell>
          <cell r="O349">
            <v>0</v>
          </cell>
          <cell r="P349">
            <v>0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OutPatientHealthCareFLOOR 2 EXAM HALL 5</v>
          </cell>
          <cell r="B350" t="str">
            <v>STD2004</v>
          </cell>
          <cell r="C350" t="str">
            <v>Buffalo</v>
          </cell>
          <cell r="D350" t="str">
            <v>OutPatientHealthCare</v>
          </cell>
          <cell r="E350" t="str">
            <v>FLOOR 2 EXAM HALL 5</v>
          </cell>
          <cell r="F350">
            <v>18.39</v>
          </cell>
          <cell r="G350">
            <v>1</v>
          </cell>
          <cell r="H350" t="str">
            <v>Yes</v>
          </cell>
          <cell r="I350" t="str">
            <v>AHU-2</v>
          </cell>
          <cell r="J350">
            <v>5.57</v>
          </cell>
          <cell r="K350">
            <v>0</v>
          </cell>
          <cell r="L350">
            <v>10.3041</v>
          </cell>
          <cell r="M350">
            <v>18.579999999999998</v>
          </cell>
          <cell r="N350">
            <v>4.3099999999999996</v>
          </cell>
          <cell r="O350">
            <v>0</v>
          </cell>
          <cell r="P350">
            <v>0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OutPatientHealthCareFLOOR 2 EXAM HALL 6</v>
          </cell>
          <cell r="B351" t="str">
            <v>STD2004</v>
          </cell>
          <cell r="C351" t="str">
            <v>Buffalo</v>
          </cell>
          <cell r="D351" t="str">
            <v>OutPatientHealthCare</v>
          </cell>
          <cell r="E351" t="str">
            <v>FLOOR 2 EXAM HALL 6</v>
          </cell>
          <cell r="F351">
            <v>18.39</v>
          </cell>
          <cell r="G351">
            <v>1</v>
          </cell>
          <cell r="H351" t="str">
            <v>Yes</v>
          </cell>
          <cell r="I351" t="str">
            <v>AHU-2</v>
          </cell>
          <cell r="J351">
            <v>5.57</v>
          </cell>
          <cell r="K351">
            <v>0</v>
          </cell>
          <cell r="L351">
            <v>10.3041</v>
          </cell>
          <cell r="M351">
            <v>18.579999999999998</v>
          </cell>
          <cell r="N351">
            <v>4.3099999999999996</v>
          </cell>
          <cell r="O351">
            <v>0</v>
          </cell>
          <cell r="P351">
            <v>0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OutPatientHealthCareFLOOR 2 JANITOR</v>
          </cell>
          <cell r="B352" t="str">
            <v>STD2004</v>
          </cell>
          <cell r="C352" t="str">
            <v>Buffalo</v>
          </cell>
          <cell r="D352" t="str">
            <v>OutPatientHealthCare</v>
          </cell>
          <cell r="E352" t="str">
            <v>FLOOR 2 JANITOR</v>
          </cell>
          <cell r="F352">
            <v>5.85</v>
          </cell>
          <cell r="G352">
            <v>1</v>
          </cell>
          <cell r="H352" t="str">
            <v>Yes</v>
          </cell>
          <cell r="I352" t="str">
            <v>AHU-2</v>
          </cell>
          <cell r="J352">
            <v>14.86</v>
          </cell>
          <cell r="K352">
            <v>0</v>
          </cell>
          <cell r="L352">
            <v>9.6875</v>
          </cell>
          <cell r="M352">
            <v>46.45</v>
          </cell>
          <cell r="N352">
            <v>1.08</v>
          </cell>
          <cell r="O352">
            <v>0</v>
          </cell>
          <cell r="P352">
            <v>0</v>
          </cell>
          <cell r="R352">
            <v>1.0252300508275299E-3</v>
          </cell>
          <cell r="S352">
            <v>0</v>
          </cell>
          <cell r="T352">
            <v>0</v>
          </cell>
        </row>
        <row r="353">
          <cell r="A353" t="str">
            <v>OutPatientHealthCareFLOOR 2 LOUNGE</v>
          </cell>
          <cell r="B353" t="str">
            <v>STD2004</v>
          </cell>
          <cell r="C353" t="str">
            <v>Buffalo</v>
          </cell>
          <cell r="D353" t="str">
            <v>OutPatientHealthCare</v>
          </cell>
          <cell r="E353" t="str">
            <v>FLOOR 2 LOUNGE</v>
          </cell>
          <cell r="F353">
            <v>7.43</v>
          </cell>
          <cell r="G353">
            <v>1</v>
          </cell>
          <cell r="H353" t="str">
            <v>Yes</v>
          </cell>
          <cell r="I353" t="str">
            <v>AHU-2</v>
          </cell>
          <cell r="J353">
            <v>0</v>
          </cell>
          <cell r="K353">
            <v>0</v>
          </cell>
          <cell r="L353">
            <v>8.6111000000000004</v>
          </cell>
          <cell r="M353">
            <v>6.19</v>
          </cell>
          <cell r="N353">
            <v>32.29</v>
          </cell>
          <cell r="O353">
            <v>0</v>
          </cell>
          <cell r="P353">
            <v>0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OutPatientHealthCareFLOOR 2 NURSE STATION 1</v>
          </cell>
          <cell r="B354" t="str">
            <v>STD2004</v>
          </cell>
          <cell r="C354" t="str">
            <v>Buffalo</v>
          </cell>
          <cell r="D354" t="str">
            <v>OutPatientHealthCare</v>
          </cell>
          <cell r="E354" t="str">
            <v>FLOOR 2 NURSE STATION 1</v>
          </cell>
          <cell r="F354">
            <v>13.94</v>
          </cell>
          <cell r="G354">
            <v>1</v>
          </cell>
          <cell r="H354" t="str">
            <v>Yes</v>
          </cell>
          <cell r="I354" t="str">
            <v>AHU-2</v>
          </cell>
          <cell r="J354">
            <v>0</v>
          </cell>
          <cell r="K354">
            <v>0</v>
          </cell>
          <cell r="L354">
            <v>10.7639</v>
          </cell>
          <cell r="M354">
            <v>6.19</v>
          </cell>
          <cell r="N354">
            <v>21.53</v>
          </cell>
          <cell r="O354">
            <v>0</v>
          </cell>
          <cell r="P354">
            <v>0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OutPatientHealthCareFLOOR 2 NURSE STATION 2</v>
          </cell>
          <cell r="B355" t="str">
            <v>STD2004</v>
          </cell>
          <cell r="C355" t="str">
            <v>Buffalo</v>
          </cell>
          <cell r="D355" t="str">
            <v>OutPatientHealthCare</v>
          </cell>
          <cell r="E355" t="str">
            <v>FLOOR 2 NURSE STATION 2</v>
          </cell>
          <cell r="F355">
            <v>16.72</v>
          </cell>
          <cell r="G355">
            <v>1</v>
          </cell>
          <cell r="H355" t="str">
            <v>Yes</v>
          </cell>
          <cell r="I355" t="str">
            <v>AHU-2</v>
          </cell>
          <cell r="J355">
            <v>0</v>
          </cell>
          <cell r="K355">
            <v>0</v>
          </cell>
          <cell r="L355">
            <v>10.7639</v>
          </cell>
          <cell r="M355">
            <v>6.19</v>
          </cell>
          <cell r="N355">
            <v>21.53</v>
          </cell>
          <cell r="O355">
            <v>0</v>
          </cell>
          <cell r="P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OutPatientHealthCareFLOOR 2 OFFICE</v>
          </cell>
          <cell r="B356" t="str">
            <v>STD2004</v>
          </cell>
          <cell r="C356" t="str">
            <v>Buffalo</v>
          </cell>
          <cell r="D356" t="str">
            <v>OutPatientHealthCare</v>
          </cell>
          <cell r="E356" t="str">
            <v>FLOOR 2 OFFICE</v>
          </cell>
          <cell r="F356">
            <v>52.03</v>
          </cell>
          <cell r="G356">
            <v>1</v>
          </cell>
          <cell r="H356" t="str">
            <v>Yes</v>
          </cell>
          <cell r="I356" t="str">
            <v>AHU-2</v>
          </cell>
          <cell r="J356">
            <v>37.159999999999997</v>
          </cell>
          <cell r="K356">
            <v>8.93</v>
          </cell>
          <cell r="L356">
            <v>11.840299999999999</v>
          </cell>
          <cell r="M356">
            <v>18.579999999999998</v>
          </cell>
          <cell r="N356">
            <v>11.84</v>
          </cell>
          <cell r="O356">
            <v>0</v>
          </cell>
          <cell r="P356">
            <v>0</v>
          </cell>
          <cell r="R356">
            <v>1.0252300508275299E-3</v>
          </cell>
          <cell r="S356">
            <v>0</v>
          </cell>
          <cell r="T356">
            <v>0</v>
          </cell>
        </row>
        <row r="357">
          <cell r="A357" t="str">
            <v>OutPatientHealthCareFLOOR 2 OFFICE HALL</v>
          </cell>
          <cell r="B357" t="str">
            <v>STD2004</v>
          </cell>
          <cell r="C357" t="str">
            <v>Buffalo</v>
          </cell>
          <cell r="D357" t="str">
            <v>OutPatientHealthCare</v>
          </cell>
          <cell r="E357" t="str">
            <v>FLOOR 2 OFFICE HALL</v>
          </cell>
          <cell r="F357">
            <v>41.25</v>
          </cell>
          <cell r="G357">
            <v>1</v>
          </cell>
          <cell r="H357" t="str">
            <v>Yes</v>
          </cell>
          <cell r="I357" t="str">
            <v>AHU-2</v>
          </cell>
          <cell r="J357">
            <v>0</v>
          </cell>
          <cell r="K357">
            <v>0</v>
          </cell>
          <cell r="L357">
            <v>10.3041</v>
          </cell>
          <cell r="M357">
            <v>18.579999999999998</v>
          </cell>
          <cell r="N357">
            <v>4.3099999999999996</v>
          </cell>
          <cell r="O357">
            <v>0</v>
          </cell>
          <cell r="P357">
            <v>0</v>
          </cell>
          <cell r="R357">
            <v>0</v>
          </cell>
          <cell r="S357">
            <v>0</v>
          </cell>
          <cell r="T357">
            <v>0</v>
          </cell>
        </row>
        <row r="358">
          <cell r="A358" t="str">
            <v>OutPatientHealthCareFLOOR 2 RECEPTION</v>
          </cell>
          <cell r="B358" t="str">
            <v>STD2004</v>
          </cell>
          <cell r="C358" t="str">
            <v>Buffalo</v>
          </cell>
          <cell r="D358" t="str">
            <v>OutPatientHealthCare</v>
          </cell>
          <cell r="E358" t="str">
            <v>FLOOR 2 RECEPTION</v>
          </cell>
          <cell r="F358">
            <v>91.42</v>
          </cell>
          <cell r="G358">
            <v>1</v>
          </cell>
          <cell r="H358" t="str">
            <v>Yes</v>
          </cell>
          <cell r="I358" t="str">
            <v>AHU-2</v>
          </cell>
          <cell r="J358">
            <v>45.52</v>
          </cell>
          <cell r="K358">
            <v>16.72</v>
          </cell>
          <cell r="L358">
            <v>13.9931</v>
          </cell>
          <cell r="M358">
            <v>3.1</v>
          </cell>
          <cell r="N358">
            <v>11.84</v>
          </cell>
          <cell r="O358">
            <v>0</v>
          </cell>
          <cell r="P358">
            <v>0</v>
          </cell>
          <cell r="R358">
            <v>1.0252300508275299E-3</v>
          </cell>
          <cell r="S358">
            <v>0</v>
          </cell>
          <cell r="T358">
            <v>0</v>
          </cell>
        </row>
        <row r="359">
          <cell r="A359" t="str">
            <v>OutPatientHealthCareFLOOR 2 RECEPTION HALL</v>
          </cell>
          <cell r="B359" t="str">
            <v>STD2004</v>
          </cell>
          <cell r="C359" t="str">
            <v>Buffalo</v>
          </cell>
          <cell r="D359" t="str">
            <v>OutPatientHealthCare</v>
          </cell>
          <cell r="E359" t="str">
            <v>FLOOR 2 RECEPTION HALL</v>
          </cell>
          <cell r="F359">
            <v>52.4</v>
          </cell>
          <cell r="G359">
            <v>1</v>
          </cell>
          <cell r="H359" t="str">
            <v>Yes</v>
          </cell>
          <cell r="I359" t="str">
            <v>AHU-2</v>
          </cell>
          <cell r="J359">
            <v>6.5</v>
          </cell>
          <cell r="K359">
            <v>0</v>
          </cell>
          <cell r="L359">
            <v>10.3041</v>
          </cell>
          <cell r="M359">
            <v>18.579999999999998</v>
          </cell>
          <cell r="N359">
            <v>4.3099999999999996</v>
          </cell>
          <cell r="O359">
            <v>0</v>
          </cell>
          <cell r="P359">
            <v>0</v>
          </cell>
          <cell r="R359">
            <v>0</v>
          </cell>
          <cell r="S359">
            <v>0</v>
          </cell>
          <cell r="T359">
            <v>0</v>
          </cell>
        </row>
        <row r="360">
          <cell r="A360" t="str">
            <v>OutPatientHealthCareFLOOR 2 RECEPTION TOILET</v>
          </cell>
          <cell r="B360" t="str">
            <v>STD2004</v>
          </cell>
          <cell r="C360" t="str">
            <v>Buffalo</v>
          </cell>
          <cell r="D360" t="str">
            <v>OutPatientHealthCare</v>
          </cell>
          <cell r="E360" t="str">
            <v>FLOOR 2 RECEPTION TOILET</v>
          </cell>
          <cell r="F360">
            <v>11.71</v>
          </cell>
          <cell r="G360">
            <v>1</v>
          </cell>
          <cell r="H360" t="str">
            <v>Yes</v>
          </cell>
          <cell r="I360" t="str">
            <v>AHU-2</v>
          </cell>
          <cell r="J360">
            <v>0</v>
          </cell>
          <cell r="K360">
            <v>0</v>
          </cell>
          <cell r="L360">
            <v>9.6875</v>
          </cell>
          <cell r="M360">
            <v>18.579999999999998</v>
          </cell>
          <cell r="N360">
            <v>4.3099999999999996</v>
          </cell>
          <cell r="O360">
            <v>0</v>
          </cell>
          <cell r="P360">
            <v>0</v>
          </cell>
          <cell r="Q360">
            <v>0.1</v>
          </cell>
          <cell r="R360">
            <v>0</v>
          </cell>
          <cell r="S360">
            <v>0</v>
          </cell>
          <cell r="T360">
            <v>0</v>
          </cell>
        </row>
        <row r="361">
          <cell r="A361" t="str">
            <v>OutPatientHealthCareFLOOR 2 SCHEDULING 1</v>
          </cell>
          <cell r="B361" t="str">
            <v>STD2004</v>
          </cell>
          <cell r="C361" t="str">
            <v>Buffalo</v>
          </cell>
          <cell r="D361" t="str">
            <v>OutPatientHealthCare</v>
          </cell>
          <cell r="E361" t="str">
            <v>FLOOR 2 SCHEDULING 1</v>
          </cell>
          <cell r="F361">
            <v>30.1</v>
          </cell>
          <cell r="G361">
            <v>1</v>
          </cell>
          <cell r="H361" t="str">
            <v>Yes</v>
          </cell>
          <cell r="I361" t="str">
            <v>AHU-2</v>
          </cell>
          <cell r="J361">
            <v>0</v>
          </cell>
          <cell r="K361">
            <v>0</v>
          </cell>
          <cell r="L361">
            <v>11.840299999999999</v>
          </cell>
          <cell r="M361">
            <v>18.579999999999998</v>
          </cell>
          <cell r="N361">
            <v>11.84</v>
          </cell>
          <cell r="O361">
            <v>0</v>
          </cell>
          <cell r="P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A362" t="str">
            <v>OutPatientHealthCareFLOOR 2 SCHEDULING 2</v>
          </cell>
          <cell r="B362" t="str">
            <v>STD2004</v>
          </cell>
          <cell r="C362" t="str">
            <v>Buffalo</v>
          </cell>
          <cell r="D362" t="str">
            <v>OutPatientHealthCare</v>
          </cell>
          <cell r="E362" t="str">
            <v>FLOOR 2 SCHEDULING 2</v>
          </cell>
          <cell r="F362">
            <v>31.77</v>
          </cell>
          <cell r="G362">
            <v>1</v>
          </cell>
          <cell r="H362" t="str">
            <v>Yes</v>
          </cell>
          <cell r="I362" t="str">
            <v>AHU-2</v>
          </cell>
          <cell r="J362">
            <v>0</v>
          </cell>
          <cell r="K362">
            <v>0</v>
          </cell>
          <cell r="L362">
            <v>11.840299999999999</v>
          </cell>
          <cell r="M362">
            <v>18.579999999999998</v>
          </cell>
          <cell r="N362">
            <v>11.84</v>
          </cell>
          <cell r="O362">
            <v>0</v>
          </cell>
          <cell r="P362">
            <v>0</v>
          </cell>
          <cell r="R362">
            <v>0</v>
          </cell>
          <cell r="S362">
            <v>0</v>
          </cell>
          <cell r="T362">
            <v>0</v>
          </cell>
        </row>
        <row r="363">
          <cell r="A363" t="str">
            <v>OutPatientHealthCareFLOOR 2 STORAGE 1</v>
          </cell>
          <cell r="B363" t="str">
            <v>STD2004</v>
          </cell>
          <cell r="C363" t="str">
            <v>Buffalo</v>
          </cell>
          <cell r="D363" t="str">
            <v>OutPatientHealthCare</v>
          </cell>
          <cell r="E363" t="str">
            <v>FLOOR 2 STORAGE 1</v>
          </cell>
          <cell r="F363">
            <v>5.2</v>
          </cell>
          <cell r="G363">
            <v>1</v>
          </cell>
          <cell r="H363" t="str">
            <v>Yes</v>
          </cell>
          <cell r="I363" t="str">
            <v>AHU-2</v>
          </cell>
          <cell r="J363">
            <v>0</v>
          </cell>
          <cell r="K363">
            <v>0</v>
          </cell>
          <cell r="L363">
            <v>9.6875</v>
          </cell>
          <cell r="M363">
            <v>46.45</v>
          </cell>
          <cell r="N363">
            <v>1.08</v>
          </cell>
          <cell r="O363">
            <v>0</v>
          </cell>
          <cell r="P363">
            <v>0</v>
          </cell>
          <cell r="R363">
            <v>0</v>
          </cell>
          <cell r="S363">
            <v>0</v>
          </cell>
          <cell r="T363">
            <v>0</v>
          </cell>
        </row>
        <row r="364">
          <cell r="A364" t="str">
            <v>OutPatientHealthCareFLOOR 2 STORAGE 2</v>
          </cell>
          <cell r="B364" t="str">
            <v>STD2004</v>
          </cell>
          <cell r="C364" t="str">
            <v>Buffalo</v>
          </cell>
          <cell r="D364" t="str">
            <v>OutPatientHealthCare</v>
          </cell>
          <cell r="E364" t="str">
            <v>FLOOR 2 STORAGE 2</v>
          </cell>
          <cell r="F364">
            <v>11.15</v>
          </cell>
          <cell r="G364">
            <v>1</v>
          </cell>
          <cell r="H364" t="str">
            <v>Yes</v>
          </cell>
          <cell r="I364" t="str">
            <v>AHU-2</v>
          </cell>
          <cell r="J364">
            <v>0</v>
          </cell>
          <cell r="K364">
            <v>0</v>
          </cell>
          <cell r="L364">
            <v>9.6875</v>
          </cell>
          <cell r="M364">
            <v>46.45</v>
          </cell>
          <cell r="N364">
            <v>1.08</v>
          </cell>
          <cell r="O364">
            <v>0</v>
          </cell>
          <cell r="P364">
            <v>0</v>
          </cell>
          <cell r="R364">
            <v>0</v>
          </cell>
          <cell r="S364">
            <v>0</v>
          </cell>
          <cell r="T364">
            <v>0</v>
          </cell>
        </row>
        <row r="365">
          <cell r="A365" t="str">
            <v>OutPatientHealthCareFLOOR 2 STORAGE 3</v>
          </cell>
          <cell r="B365" t="str">
            <v>STD2004</v>
          </cell>
          <cell r="C365" t="str">
            <v>Buffalo</v>
          </cell>
          <cell r="D365" t="str">
            <v>OutPatientHealthCare</v>
          </cell>
          <cell r="E365" t="str">
            <v>FLOOR 2 STORAGE 3</v>
          </cell>
          <cell r="F365">
            <v>13.38</v>
          </cell>
          <cell r="G365">
            <v>1</v>
          </cell>
          <cell r="H365" t="str">
            <v>Yes</v>
          </cell>
          <cell r="I365" t="str">
            <v>AHU-2</v>
          </cell>
          <cell r="J365">
            <v>0</v>
          </cell>
          <cell r="K365">
            <v>0</v>
          </cell>
          <cell r="L365">
            <v>9.6875</v>
          </cell>
          <cell r="M365">
            <v>46.45</v>
          </cell>
          <cell r="N365">
            <v>1.08</v>
          </cell>
          <cell r="O365">
            <v>0</v>
          </cell>
          <cell r="P365">
            <v>0</v>
          </cell>
          <cell r="R365">
            <v>0</v>
          </cell>
          <cell r="S365">
            <v>0</v>
          </cell>
          <cell r="T365">
            <v>0</v>
          </cell>
        </row>
        <row r="366">
          <cell r="A366" t="str">
            <v>OutPatientHealthCareFLOOR 2 UTILITY</v>
          </cell>
          <cell r="B366" t="str">
            <v>STD2004</v>
          </cell>
          <cell r="C366" t="str">
            <v>Buffalo</v>
          </cell>
          <cell r="D366" t="str">
            <v>OutPatientHealthCare</v>
          </cell>
          <cell r="E366" t="str">
            <v>FLOOR 2 UTILITY</v>
          </cell>
          <cell r="F366">
            <v>11.71</v>
          </cell>
          <cell r="G366">
            <v>1</v>
          </cell>
          <cell r="H366" t="str">
            <v>Yes</v>
          </cell>
          <cell r="I366" t="str">
            <v>AHU-2</v>
          </cell>
          <cell r="J366">
            <v>8.36</v>
          </cell>
          <cell r="K366">
            <v>2.23</v>
          </cell>
          <cell r="L366">
            <v>9.6875</v>
          </cell>
          <cell r="M366">
            <v>46.45</v>
          </cell>
          <cell r="N366">
            <v>1.08</v>
          </cell>
          <cell r="O366">
            <v>0</v>
          </cell>
          <cell r="P366">
            <v>0</v>
          </cell>
          <cell r="R366">
            <v>1.0252300508275299E-3</v>
          </cell>
          <cell r="S366">
            <v>0</v>
          </cell>
          <cell r="T366">
            <v>0</v>
          </cell>
        </row>
        <row r="367">
          <cell r="A367" t="str">
            <v>OutPatientHealthCareFLOOR 2 WORK</v>
          </cell>
          <cell r="B367" t="str">
            <v>STD2004</v>
          </cell>
          <cell r="C367" t="str">
            <v>Buffalo</v>
          </cell>
          <cell r="D367" t="str">
            <v>OutPatientHealthCare</v>
          </cell>
          <cell r="E367" t="str">
            <v>FLOOR 2 WORK</v>
          </cell>
          <cell r="F367">
            <v>157.01</v>
          </cell>
          <cell r="G367">
            <v>1</v>
          </cell>
          <cell r="H367" t="str">
            <v>Yes</v>
          </cell>
          <cell r="I367" t="str">
            <v>AHU-2</v>
          </cell>
          <cell r="J367">
            <v>24.15</v>
          </cell>
          <cell r="K367">
            <v>5.57</v>
          </cell>
          <cell r="L367">
            <v>11.840299999999999</v>
          </cell>
          <cell r="M367">
            <v>18.579999999999998</v>
          </cell>
          <cell r="N367">
            <v>9.7803000000000004</v>
          </cell>
          <cell r="O367">
            <v>0</v>
          </cell>
          <cell r="P367">
            <v>0</v>
          </cell>
          <cell r="R367">
            <v>1.0252300508275299E-3</v>
          </cell>
          <cell r="S367">
            <v>0</v>
          </cell>
          <cell r="T367">
            <v>0</v>
          </cell>
        </row>
        <row r="368">
          <cell r="A368" t="str">
            <v>OutPatientHealthCareFLOOR 2 WORK HALL</v>
          </cell>
          <cell r="B368" t="str">
            <v>STD2004</v>
          </cell>
          <cell r="C368" t="str">
            <v>Buffalo</v>
          </cell>
          <cell r="D368" t="str">
            <v>OutPatientHealthCare</v>
          </cell>
          <cell r="E368" t="str">
            <v>FLOOR 2 WORK HALL</v>
          </cell>
          <cell r="F368">
            <v>77.48</v>
          </cell>
          <cell r="G368">
            <v>1</v>
          </cell>
          <cell r="H368" t="str">
            <v>Yes</v>
          </cell>
          <cell r="I368" t="str">
            <v>AHU-2</v>
          </cell>
          <cell r="J368">
            <v>5.57</v>
          </cell>
          <cell r="K368">
            <v>0</v>
          </cell>
          <cell r="L368">
            <v>10.3041</v>
          </cell>
          <cell r="M368">
            <v>18.579999999999998</v>
          </cell>
          <cell r="N368">
            <v>4.3099999999999996</v>
          </cell>
          <cell r="O368">
            <v>0</v>
          </cell>
          <cell r="P368">
            <v>0</v>
          </cell>
          <cell r="R368">
            <v>0</v>
          </cell>
          <cell r="S368">
            <v>0</v>
          </cell>
          <cell r="T368">
            <v>0</v>
          </cell>
        </row>
        <row r="369">
          <cell r="A369" t="str">
            <v>OutPatientHealthCareFLOOR 2 WORK TOILET</v>
          </cell>
          <cell r="B369" t="str">
            <v>STD2004</v>
          </cell>
          <cell r="C369" t="str">
            <v>Buffalo</v>
          </cell>
          <cell r="D369" t="str">
            <v>OutPatientHealthCare</v>
          </cell>
          <cell r="E369" t="str">
            <v>FLOOR 2 WORK TOILET</v>
          </cell>
          <cell r="F369">
            <v>5.0199999999999996</v>
          </cell>
          <cell r="G369">
            <v>1</v>
          </cell>
          <cell r="H369" t="str">
            <v>Yes</v>
          </cell>
          <cell r="I369" t="str">
            <v>AHU-2</v>
          </cell>
          <cell r="J369">
            <v>5.57</v>
          </cell>
          <cell r="K369">
            <v>0</v>
          </cell>
          <cell r="L369">
            <v>9.6875</v>
          </cell>
          <cell r="M369">
            <v>18.579999999999998</v>
          </cell>
          <cell r="N369">
            <v>4.3099999999999996</v>
          </cell>
          <cell r="O369">
            <v>0</v>
          </cell>
          <cell r="P369">
            <v>0</v>
          </cell>
          <cell r="Q369">
            <v>0.04</v>
          </cell>
          <cell r="R369">
            <v>1.0252300508275299E-3</v>
          </cell>
          <cell r="S369">
            <v>0</v>
          </cell>
          <cell r="T369">
            <v>0</v>
          </cell>
        </row>
        <row r="370">
          <cell r="A370" t="str">
            <v>OutPatientHealthCareFLOOR 2 X-RAY</v>
          </cell>
          <cell r="B370" t="str">
            <v>STD2004</v>
          </cell>
          <cell r="C370" t="str">
            <v>Buffalo</v>
          </cell>
          <cell r="D370" t="str">
            <v>OutPatientHealthCare</v>
          </cell>
          <cell r="E370" t="str">
            <v>FLOOR 2 X-RAY</v>
          </cell>
          <cell r="F370">
            <v>83.61</v>
          </cell>
          <cell r="G370">
            <v>1</v>
          </cell>
          <cell r="H370" t="str">
            <v>Yes</v>
          </cell>
          <cell r="I370" t="str">
            <v>AHU-2</v>
          </cell>
          <cell r="J370">
            <v>0</v>
          </cell>
          <cell r="K370">
            <v>0</v>
          </cell>
          <cell r="L370">
            <v>4.3056000000000001</v>
          </cell>
          <cell r="M370">
            <v>4.6399999999999997</v>
          </cell>
          <cell r="N370">
            <v>107.64</v>
          </cell>
          <cell r="O370">
            <v>0</v>
          </cell>
          <cell r="P370">
            <v>0</v>
          </cell>
          <cell r="Q370">
            <v>0.85</v>
          </cell>
          <cell r="R370">
            <v>0</v>
          </cell>
          <cell r="S370">
            <v>0</v>
          </cell>
          <cell r="T370">
            <v>0</v>
          </cell>
        </row>
        <row r="371">
          <cell r="A371" t="str">
            <v>OutPatientHealthCareFLOOR 3 DRESSING ROOM</v>
          </cell>
          <cell r="B371" t="str">
            <v>STD2004</v>
          </cell>
          <cell r="C371" t="str">
            <v>Buffalo</v>
          </cell>
          <cell r="D371" t="str">
            <v>OutPatientHealthCare</v>
          </cell>
          <cell r="E371" t="str">
            <v>FLOOR 3 DRESSING ROOM</v>
          </cell>
          <cell r="F371">
            <v>3.9</v>
          </cell>
          <cell r="G371">
            <v>1</v>
          </cell>
          <cell r="H371" t="str">
            <v>Yes</v>
          </cell>
          <cell r="I371" t="str">
            <v>AHU-2</v>
          </cell>
          <cell r="J371">
            <v>0</v>
          </cell>
          <cell r="K371">
            <v>0</v>
          </cell>
          <cell r="L371">
            <v>11.840299999999999</v>
          </cell>
          <cell r="M371">
            <v>18.579999999999998</v>
          </cell>
          <cell r="N371">
            <v>11.84</v>
          </cell>
          <cell r="O371">
            <v>0</v>
          </cell>
          <cell r="P371">
            <v>0</v>
          </cell>
          <cell r="R371">
            <v>1.0252300508275299E-3</v>
          </cell>
          <cell r="S371">
            <v>0</v>
          </cell>
          <cell r="T371">
            <v>0</v>
          </cell>
        </row>
        <row r="372">
          <cell r="A372" t="str">
            <v>OutPatientHealthCareFLOOR 3 ELEVATOR HALL</v>
          </cell>
          <cell r="B372" t="str">
            <v>STD2004</v>
          </cell>
          <cell r="C372" t="str">
            <v>Buffalo</v>
          </cell>
          <cell r="D372" t="str">
            <v>OutPatientHealthCare</v>
          </cell>
          <cell r="E372" t="str">
            <v>FLOOR 3 ELEVATOR HALL</v>
          </cell>
          <cell r="F372">
            <v>34.369999999999997</v>
          </cell>
          <cell r="G372">
            <v>1</v>
          </cell>
          <cell r="H372" t="str">
            <v>Yes</v>
          </cell>
          <cell r="I372" t="str">
            <v>AHU-2</v>
          </cell>
          <cell r="J372">
            <v>3.72</v>
          </cell>
          <cell r="K372">
            <v>0</v>
          </cell>
          <cell r="L372">
            <v>10.3041</v>
          </cell>
          <cell r="M372">
            <v>18.579999999999998</v>
          </cell>
          <cell r="N372">
            <v>4.3099999999999996</v>
          </cell>
          <cell r="O372">
            <v>0</v>
          </cell>
          <cell r="P372">
            <v>0</v>
          </cell>
          <cell r="R372">
            <v>1.0252300508275299E-3</v>
          </cell>
          <cell r="S372">
            <v>0</v>
          </cell>
          <cell r="T372">
            <v>0</v>
          </cell>
        </row>
        <row r="373">
          <cell r="A373" t="str">
            <v>OutPatientHealthCareFLOOR 3 HUMID</v>
          </cell>
          <cell r="B373" t="str">
            <v>STD2004</v>
          </cell>
          <cell r="C373" t="str">
            <v>Buffalo</v>
          </cell>
          <cell r="D373" t="str">
            <v>OutPatientHealthCare</v>
          </cell>
          <cell r="E373" t="str">
            <v>FLOOR 3 HUMID</v>
          </cell>
          <cell r="F373">
            <v>10.029999999999999</v>
          </cell>
          <cell r="G373">
            <v>1</v>
          </cell>
          <cell r="H373" t="str">
            <v>Yes</v>
          </cell>
          <cell r="I373" t="str">
            <v>AHU-2</v>
          </cell>
          <cell r="J373">
            <v>0</v>
          </cell>
          <cell r="K373">
            <v>0</v>
          </cell>
          <cell r="L373">
            <v>11.840299999999999</v>
          </cell>
          <cell r="M373">
            <v>18.579999999999998</v>
          </cell>
          <cell r="N373">
            <v>11.84</v>
          </cell>
          <cell r="O373">
            <v>0</v>
          </cell>
          <cell r="P373">
            <v>0</v>
          </cell>
          <cell r="R373">
            <v>1.0252300508275299E-3</v>
          </cell>
          <cell r="S373">
            <v>0</v>
          </cell>
          <cell r="T373">
            <v>0</v>
          </cell>
        </row>
        <row r="374">
          <cell r="A374" t="str">
            <v>OutPatientHealthCareFLOOR 3 JANITOR</v>
          </cell>
          <cell r="B374" t="str">
            <v>STD2004</v>
          </cell>
          <cell r="C374" t="str">
            <v>Buffalo</v>
          </cell>
          <cell r="D374" t="str">
            <v>OutPatientHealthCare</v>
          </cell>
          <cell r="E374" t="str">
            <v>FLOOR 3 JANITOR</v>
          </cell>
          <cell r="F374">
            <v>5.85</v>
          </cell>
          <cell r="G374">
            <v>1</v>
          </cell>
          <cell r="H374" t="str">
            <v>Yes</v>
          </cell>
          <cell r="I374" t="str">
            <v>AHU-2</v>
          </cell>
          <cell r="J374">
            <v>14.86</v>
          </cell>
          <cell r="K374">
            <v>0</v>
          </cell>
          <cell r="L374">
            <v>9.6875</v>
          </cell>
          <cell r="M374">
            <v>46.45</v>
          </cell>
          <cell r="N374">
            <v>1.08</v>
          </cell>
          <cell r="O374">
            <v>0</v>
          </cell>
          <cell r="P374">
            <v>0</v>
          </cell>
          <cell r="R374">
            <v>1.0252300508275299E-3</v>
          </cell>
          <cell r="S374">
            <v>0</v>
          </cell>
          <cell r="T374">
            <v>0</v>
          </cell>
        </row>
        <row r="375">
          <cell r="A375" t="str">
            <v>OutPatientHealthCareFLOOR 3 LOCKER</v>
          </cell>
          <cell r="B375" t="str">
            <v>STD2004</v>
          </cell>
          <cell r="C375" t="str">
            <v>Buffalo</v>
          </cell>
          <cell r="D375" t="str">
            <v>OutPatientHealthCare</v>
          </cell>
          <cell r="E375" t="str">
            <v>FLOOR 3 LOCKER</v>
          </cell>
          <cell r="F375">
            <v>11.15</v>
          </cell>
          <cell r="G375">
            <v>1</v>
          </cell>
          <cell r="H375" t="str">
            <v>Yes</v>
          </cell>
          <cell r="I375" t="str">
            <v>AHU-2</v>
          </cell>
          <cell r="J375">
            <v>0</v>
          </cell>
          <cell r="K375">
            <v>0</v>
          </cell>
          <cell r="L375">
            <v>8.6111000000000004</v>
          </cell>
          <cell r="M375">
            <v>6.19</v>
          </cell>
          <cell r="N375">
            <v>32.29</v>
          </cell>
          <cell r="O375">
            <v>0</v>
          </cell>
          <cell r="P375">
            <v>0</v>
          </cell>
          <cell r="R375">
            <v>1.0252300508275299E-3</v>
          </cell>
          <cell r="S375">
            <v>0</v>
          </cell>
          <cell r="T375">
            <v>0</v>
          </cell>
        </row>
        <row r="376">
          <cell r="A376" t="str">
            <v>OutPatientHealthCareFLOOR 3 LOUNGE</v>
          </cell>
          <cell r="B376" t="str">
            <v>STD2004</v>
          </cell>
          <cell r="C376" t="str">
            <v>Buffalo</v>
          </cell>
          <cell r="D376" t="str">
            <v>OutPatientHealthCare</v>
          </cell>
          <cell r="E376" t="str">
            <v>FLOOR 3 LOUNGE</v>
          </cell>
          <cell r="F376">
            <v>70.510000000000005</v>
          </cell>
          <cell r="G376">
            <v>1</v>
          </cell>
          <cell r="H376" t="str">
            <v>Yes</v>
          </cell>
          <cell r="I376" t="str">
            <v>AHU-2</v>
          </cell>
          <cell r="J376">
            <v>21.37</v>
          </cell>
          <cell r="K376">
            <v>5.57</v>
          </cell>
          <cell r="L376">
            <v>8.6111000000000004</v>
          </cell>
          <cell r="M376">
            <v>6.19</v>
          </cell>
          <cell r="N376">
            <v>32.29</v>
          </cell>
          <cell r="O376">
            <v>0</v>
          </cell>
          <cell r="P376">
            <v>0</v>
          </cell>
          <cell r="R376">
            <v>1.0252300508275299E-3</v>
          </cell>
          <cell r="S376">
            <v>0</v>
          </cell>
          <cell r="T376">
            <v>0</v>
          </cell>
        </row>
        <row r="377">
          <cell r="A377" t="str">
            <v>OutPatientHealthCareFLOOR 3 LOUNGE TOILET</v>
          </cell>
          <cell r="B377" t="str">
            <v>STD2004</v>
          </cell>
          <cell r="C377" t="str">
            <v>Buffalo</v>
          </cell>
          <cell r="D377" t="str">
            <v>OutPatientHealthCare</v>
          </cell>
          <cell r="E377" t="str">
            <v>FLOOR 3 LOUNGE TOILET</v>
          </cell>
          <cell r="F377">
            <v>17.84</v>
          </cell>
          <cell r="G377">
            <v>1</v>
          </cell>
          <cell r="H377" t="str">
            <v>Yes</v>
          </cell>
          <cell r="I377" t="str">
            <v>AHU-2</v>
          </cell>
          <cell r="J377">
            <v>11.15</v>
          </cell>
          <cell r="K377">
            <v>4.18</v>
          </cell>
          <cell r="L377">
            <v>9.6875</v>
          </cell>
          <cell r="M377">
            <v>18.579999999999998</v>
          </cell>
          <cell r="N377">
            <v>4.3099999999999996</v>
          </cell>
          <cell r="O377">
            <v>0</v>
          </cell>
          <cell r="P377">
            <v>0</v>
          </cell>
          <cell r="Q377">
            <v>0.15</v>
          </cell>
          <cell r="R377">
            <v>1.0252300508275299E-3</v>
          </cell>
          <cell r="S377">
            <v>0</v>
          </cell>
          <cell r="T377">
            <v>0</v>
          </cell>
        </row>
        <row r="378">
          <cell r="A378" t="str">
            <v>OutPatientHealthCareFLOOR 3 MECHANICAL</v>
          </cell>
          <cell r="B378" t="str">
            <v>STD2004</v>
          </cell>
          <cell r="C378" t="str">
            <v>Buffalo</v>
          </cell>
          <cell r="D378" t="str">
            <v>OutPatientHealthCare</v>
          </cell>
          <cell r="E378" t="str">
            <v>FLOOR 3 MECHANICAL</v>
          </cell>
          <cell r="F378">
            <v>32.520000000000003</v>
          </cell>
          <cell r="G378">
            <v>1</v>
          </cell>
          <cell r="H378" t="str">
            <v>Yes</v>
          </cell>
          <cell r="I378" t="str">
            <v>AHU-2</v>
          </cell>
          <cell r="J378">
            <v>23.23</v>
          </cell>
          <cell r="K378">
            <v>5.95</v>
          </cell>
          <cell r="L378">
            <v>16.145800000000001</v>
          </cell>
          <cell r="M378">
            <v>61.94</v>
          </cell>
          <cell r="N378">
            <v>53.82</v>
          </cell>
          <cell r="O378">
            <v>0</v>
          </cell>
          <cell r="P378">
            <v>0</v>
          </cell>
          <cell r="R378">
            <v>1.0252300508275299E-3</v>
          </cell>
          <cell r="S378">
            <v>0</v>
          </cell>
          <cell r="T378">
            <v>0</v>
          </cell>
        </row>
        <row r="379">
          <cell r="A379" t="str">
            <v>OutPatientHealthCareFLOOR 3 MECHANICAL HALL</v>
          </cell>
          <cell r="B379" t="str">
            <v>STD2004</v>
          </cell>
          <cell r="C379" t="str">
            <v>Buffalo</v>
          </cell>
          <cell r="D379" t="str">
            <v>OutPatientHealthCare</v>
          </cell>
          <cell r="E379" t="str">
            <v>FLOOR 3 MECHANICAL HALL</v>
          </cell>
          <cell r="F379">
            <v>27.87</v>
          </cell>
          <cell r="G379">
            <v>1</v>
          </cell>
          <cell r="H379" t="str">
            <v>Yes</v>
          </cell>
          <cell r="I379" t="str">
            <v>AHU-2</v>
          </cell>
          <cell r="J379">
            <v>0</v>
          </cell>
          <cell r="K379">
            <v>0</v>
          </cell>
          <cell r="L379">
            <v>10.3041</v>
          </cell>
          <cell r="M379">
            <v>18.579999999999998</v>
          </cell>
          <cell r="N379">
            <v>4.3099999999999996</v>
          </cell>
          <cell r="O379">
            <v>0</v>
          </cell>
          <cell r="P379">
            <v>0</v>
          </cell>
          <cell r="R379">
            <v>1.0252300508275299E-3</v>
          </cell>
          <cell r="S379">
            <v>0</v>
          </cell>
          <cell r="T379">
            <v>0</v>
          </cell>
        </row>
        <row r="380">
          <cell r="A380" t="str">
            <v>OutPatientHealthCareFLOOR 3 OFFICE</v>
          </cell>
          <cell r="B380" t="str">
            <v>STD2004</v>
          </cell>
          <cell r="C380" t="str">
            <v>Buffalo</v>
          </cell>
          <cell r="D380" t="str">
            <v>OutPatientHealthCare</v>
          </cell>
          <cell r="E380" t="str">
            <v>FLOOR 3 OFFICE</v>
          </cell>
          <cell r="F380">
            <v>282.05</v>
          </cell>
          <cell r="G380">
            <v>1</v>
          </cell>
          <cell r="H380" t="str">
            <v>Yes</v>
          </cell>
          <cell r="I380" t="str">
            <v>AHU-2</v>
          </cell>
          <cell r="J380">
            <v>68.75</v>
          </cell>
          <cell r="K380">
            <v>19.510000000000002</v>
          </cell>
          <cell r="L380">
            <v>11.840299999999999</v>
          </cell>
          <cell r="M380">
            <v>18.579999999999998</v>
          </cell>
          <cell r="N380">
            <v>11.84</v>
          </cell>
          <cell r="O380">
            <v>0</v>
          </cell>
          <cell r="P380">
            <v>0</v>
          </cell>
          <cell r="R380">
            <v>1.0252300508275299E-3</v>
          </cell>
          <cell r="S380">
            <v>0</v>
          </cell>
          <cell r="T380">
            <v>0</v>
          </cell>
        </row>
        <row r="381">
          <cell r="A381" t="str">
            <v>OutPatientHealthCareFLOOR 3 OFFICE HALL</v>
          </cell>
          <cell r="B381" t="str">
            <v>STD2004</v>
          </cell>
          <cell r="C381" t="str">
            <v>Buffalo</v>
          </cell>
          <cell r="D381" t="str">
            <v>OutPatientHealthCare</v>
          </cell>
          <cell r="E381" t="str">
            <v>FLOOR 3 OFFICE HALL</v>
          </cell>
          <cell r="F381">
            <v>77.48</v>
          </cell>
          <cell r="G381">
            <v>1</v>
          </cell>
          <cell r="H381" t="str">
            <v>Yes</v>
          </cell>
          <cell r="I381" t="str">
            <v>AHU-2</v>
          </cell>
          <cell r="J381">
            <v>5.57</v>
          </cell>
          <cell r="K381">
            <v>0</v>
          </cell>
          <cell r="L381">
            <v>10.3041</v>
          </cell>
          <cell r="M381">
            <v>18.579999999999998</v>
          </cell>
          <cell r="N381">
            <v>4.3099999999999996</v>
          </cell>
          <cell r="O381">
            <v>0</v>
          </cell>
          <cell r="P381">
            <v>0</v>
          </cell>
          <cell r="R381">
            <v>1.0252300508275299E-3</v>
          </cell>
          <cell r="S381">
            <v>0</v>
          </cell>
          <cell r="T381">
            <v>0</v>
          </cell>
        </row>
        <row r="382">
          <cell r="A382" t="str">
            <v>OutPatientHealthCareFLOOR 3 OFFICE TOILET</v>
          </cell>
          <cell r="B382" t="str">
            <v>STD2004</v>
          </cell>
          <cell r="C382" t="str">
            <v>Buffalo</v>
          </cell>
          <cell r="D382" t="str">
            <v>OutPatientHealthCare</v>
          </cell>
          <cell r="E382" t="str">
            <v>FLOOR 3 OFFICE TOILET</v>
          </cell>
          <cell r="F382">
            <v>5.0199999999999996</v>
          </cell>
          <cell r="G382">
            <v>1</v>
          </cell>
          <cell r="H382" t="str">
            <v>Yes</v>
          </cell>
          <cell r="I382" t="str">
            <v>AHU-2</v>
          </cell>
          <cell r="J382">
            <v>5.57</v>
          </cell>
          <cell r="K382">
            <v>0</v>
          </cell>
          <cell r="L382">
            <v>9.6875</v>
          </cell>
          <cell r="M382">
            <v>18.579999999999998</v>
          </cell>
          <cell r="N382">
            <v>4.3099999999999996</v>
          </cell>
          <cell r="O382">
            <v>0</v>
          </cell>
          <cell r="P382">
            <v>0</v>
          </cell>
          <cell r="Q382">
            <v>0.04</v>
          </cell>
          <cell r="R382">
            <v>1.0252300508275299E-3</v>
          </cell>
          <cell r="S382">
            <v>0</v>
          </cell>
          <cell r="T382">
            <v>0</v>
          </cell>
        </row>
        <row r="383">
          <cell r="A383" t="str">
            <v>OutPatientHealthCareFLOOR 3 PHYSICAL THERAPY 1</v>
          </cell>
          <cell r="B383" t="str">
            <v>STD2004</v>
          </cell>
          <cell r="C383" t="str">
            <v>Buffalo</v>
          </cell>
          <cell r="D383" t="str">
            <v>OutPatientHealthCare</v>
          </cell>
          <cell r="E383" t="str">
            <v>FLOOR 3 PHYSICAL THERAPY 1</v>
          </cell>
          <cell r="F383">
            <v>120.77</v>
          </cell>
          <cell r="G383">
            <v>1</v>
          </cell>
          <cell r="H383" t="str">
            <v>Yes</v>
          </cell>
          <cell r="I383" t="str">
            <v>AHU-2</v>
          </cell>
          <cell r="J383">
            <v>78.97</v>
          </cell>
          <cell r="K383">
            <v>28.99</v>
          </cell>
          <cell r="L383">
            <v>9.6875</v>
          </cell>
          <cell r="M383">
            <v>4.6399999999999997</v>
          </cell>
          <cell r="N383">
            <v>16.149999999999999</v>
          </cell>
          <cell r="O383">
            <v>0</v>
          </cell>
          <cell r="P383">
            <v>0</v>
          </cell>
          <cell r="R383">
            <v>1.0252300508275299E-3</v>
          </cell>
          <cell r="S383">
            <v>0</v>
          </cell>
          <cell r="T383">
            <v>0</v>
          </cell>
        </row>
        <row r="384">
          <cell r="A384" t="str">
            <v>OutPatientHealthCareFLOOR 3 PHYSICAL THERAPY 2</v>
          </cell>
          <cell r="B384" t="str">
            <v>STD2004</v>
          </cell>
          <cell r="C384" t="str">
            <v>Buffalo</v>
          </cell>
          <cell r="D384" t="str">
            <v>OutPatientHealthCare</v>
          </cell>
          <cell r="E384" t="str">
            <v>FLOOR 3 PHYSICAL THERAPY 2</v>
          </cell>
          <cell r="F384">
            <v>55</v>
          </cell>
          <cell r="G384">
            <v>1</v>
          </cell>
          <cell r="H384" t="str">
            <v>Yes</v>
          </cell>
          <cell r="I384" t="str">
            <v>AHU-2</v>
          </cell>
          <cell r="J384">
            <v>0</v>
          </cell>
          <cell r="K384">
            <v>0</v>
          </cell>
          <cell r="L384">
            <v>9.6875</v>
          </cell>
          <cell r="M384">
            <v>4.6399999999999997</v>
          </cell>
          <cell r="N384">
            <v>16.149999999999999</v>
          </cell>
          <cell r="O384">
            <v>0</v>
          </cell>
          <cell r="P384">
            <v>0</v>
          </cell>
          <cell r="R384">
            <v>1.0252300508275299E-3</v>
          </cell>
          <cell r="S384">
            <v>0</v>
          </cell>
          <cell r="T384">
            <v>0</v>
          </cell>
        </row>
        <row r="385">
          <cell r="A385" t="str">
            <v>OutPatientHealthCareFLOOR 3 PHYSICAL THERAPY TOILET</v>
          </cell>
          <cell r="B385" t="str">
            <v>STD2004</v>
          </cell>
          <cell r="C385" t="str">
            <v>Buffalo</v>
          </cell>
          <cell r="D385" t="str">
            <v>OutPatientHealthCare</v>
          </cell>
          <cell r="E385" t="str">
            <v>FLOOR 3 PHYSICAL THERAPY TOILET</v>
          </cell>
          <cell r="F385">
            <v>7.8</v>
          </cell>
          <cell r="G385">
            <v>1</v>
          </cell>
          <cell r="H385" t="str">
            <v>Yes</v>
          </cell>
          <cell r="I385" t="str">
            <v>AHU-2</v>
          </cell>
          <cell r="J385">
            <v>0</v>
          </cell>
          <cell r="K385">
            <v>0</v>
          </cell>
          <cell r="L385">
            <v>9.6875</v>
          </cell>
          <cell r="M385">
            <v>18.579999999999998</v>
          </cell>
          <cell r="N385">
            <v>4.3099999999999996</v>
          </cell>
          <cell r="O385">
            <v>0</v>
          </cell>
          <cell r="P385">
            <v>0</v>
          </cell>
          <cell r="Q385">
            <v>7.0000000000000007E-2</v>
          </cell>
          <cell r="R385">
            <v>1.0252300508275299E-3</v>
          </cell>
          <cell r="S385">
            <v>0</v>
          </cell>
          <cell r="T385">
            <v>0</v>
          </cell>
        </row>
        <row r="386">
          <cell r="A386" t="str">
            <v>OutPatientHealthCareFLOOR 3 STORAGE 1</v>
          </cell>
          <cell r="B386" t="str">
            <v>STD2004</v>
          </cell>
          <cell r="C386" t="str">
            <v>Buffalo</v>
          </cell>
          <cell r="D386" t="str">
            <v>OutPatientHealthCare</v>
          </cell>
          <cell r="E386" t="str">
            <v>FLOOR 3 STORAGE 1</v>
          </cell>
          <cell r="F386">
            <v>10.029999999999999</v>
          </cell>
          <cell r="G386">
            <v>1</v>
          </cell>
          <cell r="H386" t="str">
            <v>Yes</v>
          </cell>
          <cell r="I386" t="str">
            <v>AHU-2</v>
          </cell>
          <cell r="J386">
            <v>0</v>
          </cell>
          <cell r="K386">
            <v>0</v>
          </cell>
          <cell r="L386">
            <v>9.6875</v>
          </cell>
          <cell r="M386">
            <v>46.45</v>
          </cell>
          <cell r="N386">
            <v>1.08</v>
          </cell>
          <cell r="O386">
            <v>0</v>
          </cell>
          <cell r="P386">
            <v>0</v>
          </cell>
          <cell r="R386">
            <v>1.0252300508275299E-3</v>
          </cell>
          <cell r="S386">
            <v>0</v>
          </cell>
          <cell r="T386">
            <v>0</v>
          </cell>
        </row>
        <row r="387">
          <cell r="A387" t="str">
            <v>OutPatientHealthCareFLOOR 3 STORAGE 2</v>
          </cell>
          <cell r="B387" t="str">
            <v>STD2004</v>
          </cell>
          <cell r="C387" t="str">
            <v>Buffalo</v>
          </cell>
          <cell r="D387" t="str">
            <v>OutPatientHealthCare</v>
          </cell>
          <cell r="E387" t="str">
            <v>FLOOR 3 STORAGE 2</v>
          </cell>
          <cell r="F387">
            <v>7.8</v>
          </cell>
          <cell r="G387">
            <v>1</v>
          </cell>
          <cell r="H387" t="str">
            <v>Yes</v>
          </cell>
          <cell r="I387" t="str">
            <v>AHU-2</v>
          </cell>
          <cell r="J387">
            <v>0</v>
          </cell>
          <cell r="K387">
            <v>0</v>
          </cell>
          <cell r="L387">
            <v>9.6875</v>
          </cell>
          <cell r="M387">
            <v>46.45</v>
          </cell>
          <cell r="N387">
            <v>1.08</v>
          </cell>
          <cell r="O387">
            <v>0</v>
          </cell>
          <cell r="P387">
            <v>0</v>
          </cell>
          <cell r="R387">
            <v>1.0252300508275299E-3</v>
          </cell>
          <cell r="S387">
            <v>0</v>
          </cell>
          <cell r="T387">
            <v>0</v>
          </cell>
        </row>
        <row r="388">
          <cell r="A388" t="str">
            <v>OutPatientHealthCareFLOOR 3 TREATMENT</v>
          </cell>
          <cell r="B388" t="str">
            <v>STD2004</v>
          </cell>
          <cell r="C388" t="str">
            <v>Buffalo</v>
          </cell>
          <cell r="D388" t="str">
            <v>OutPatientHealthCare</v>
          </cell>
          <cell r="E388" t="str">
            <v>FLOOR 3 TREATMENT</v>
          </cell>
          <cell r="F388">
            <v>44.22</v>
          </cell>
          <cell r="G388">
            <v>1</v>
          </cell>
          <cell r="H388" t="str">
            <v>Yes</v>
          </cell>
          <cell r="I388" t="str">
            <v>AHU-2</v>
          </cell>
          <cell r="J388">
            <v>0</v>
          </cell>
          <cell r="K388">
            <v>0</v>
          </cell>
          <cell r="L388">
            <v>16.145800000000001</v>
          </cell>
          <cell r="M388">
            <v>4.6399999999999997</v>
          </cell>
          <cell r="N388">
            <v>11.84</v>
          </cell>
          <cell r="O388">
            <v>0</v>
          </cell>
          <cell r="P388">
            <v>0</v>
          </cell>
          <cell r="R388">
            <v>1.0252300508275299E-3</v>
          </cell>
          <cell r="S388">
            <v>0</v>
          </cell>
          <cell r="T388">
            <v>0</v>
          </cell>
        </row>
        <row r="389">
          <cell r="A389" t="str">
            <v>OutPatientHealthCareFLOOR 3 UNDEVELOPED 1</v>
          </cell>
          <cell r="B389" t="str">
            <v>STD2004</v>
          </cell>
          <cell r="C389" t="str">
            <v>Buffalo</v>
          </cell>
          <cell r="D389" t="str">
            <v>OutPatientHealthCare</v>
          </cell>
          <cell r="E389" t="str">
            <v>FLOOR 3 UNDEVELOPED 1</v>
          </cell>
          <cell r="F389">
            <v>210.7</v>
          </cell>
          <cell r="G389">
            <v>1</v>
          </cell>
          <cell r="H389" t="str">
            <v>Yes</v>
          </cell>
          <cell r="I389" t="str">
            <v>AHU-2</v>
          </cell>
          <cell r="J389">
            <v>66.89</v>
          </cell>
          <cell r="K389">
            <v>25.64</v>
          </cell>
          <cell r="L389">
            <v>9.6875</v>
          </cell>
          <cell r="M389">
            <v>46.45</v>
          </cell>
          <cell r="N389">
            <v>11.84</v>
          </cell>
          <cell r="O389">
            <v>0</v>
          </cell>
          <cell r="P389">
            <v>0</v>
          </cell>
          <cell r="R389">
            <v>1.0252300508275299E-3</v>
          </cell>
          <cell r="S389">
            <v>0</v>
          </cell>
          <cell r="T389">
            <v>0</v>
          </cell>
        </row>
        <row r="390">
          <cell r="A390" t="str">
            <v>OutPatientHealthCareFLOOR 3 UNDEVELOPED 2</v>
          </cell>
          <cell r="B390" t="str">
            <v>STD2004</v>
          </cell>
          <cell r="C390" t="str">
            <v>Buffalo</v>
          </cell>
          <cell r="D390" t="str">
            <v>OutPatientHealthCare</v>
          </cell>
          <cell r="E390" t="str">
            <v>FLOOR 3 UNDEVELOPED 2</v>
          </cell>
          <cell r="F390">
            <v>107.02</v>
          </cell>
          <cell r="G390">
            <v>1</v>
          </cell>
          <cell r="H390" t="str">
            <v>Yes</v>
          </cell>
          <cell r="I390" t="str">
            <v>AHU-2</v>
          </cell>
          <cell r="J390">
            <v>52.03</v>
          </cell>
          <cell r="K390">
            <v>13.38</v>
          </cell>
          <cell r="L390">
            <v>9.6875</v>
          </cell>
          <cell r="M390">
            <v>46.45</v>
          </cell>
          <cell r="N390">
            <v>11.84</v>
          </cell>
          <cell r="O390">
            <v>0</v>
          </cell>
          <cell r="P390">
            <v>0</v>
          </cell>
          <cell r="R390">
            <v>1.0252300508275299E-3</v>
          </cell>
          <cell r="S390">
            <v>0</v>
          </cell>
          <cell r="T390">
            <v>0</v>
          </cell>
        </row>
        <row r="391">
          <cell r="A391" t="str">
            <v>OutPatientHealthCareFLOOR 3 UTILITY</v>
          </cell>
          <cell r="B391" t="str">
            <v>STD2004</v>
          </cell>
          <cell r="C391" t="str">
            <v>Buffalo</v>
          </cell>
          <cell r="D391" t="str">
            <v>OutPatientHealthCare</v>
          </cell>
          <cell r="E391" t="str">
            <v>FLOOR 3 UTILITY</v>
          </cell>
          <cell r="F391">
            <v>20.07</v>
          </cell>
          <cell r="G391">
            <v>1</v>
          </cell>
          <cell r="H391" t="str">
            <v>Yes</v>
          </cell>
          <cell r="I391" t="str">
            <v>AHU-2</v>
          </cell>
          <cell r="J391">
            <v>0</v>
          </cell>
          <cell r="K391">
            <v>0</v>
          </cell>
          <cell r="L391">
            <v>16.145800000000001</v>
          </cell>
          <cell r="M391">
            <v>46.45</v>
          </cell>
          <cell r="N391">
            <v>1.08</v>
          </cell>
          <cell r="O391">
            <v>0</v>
          </cell>
          <cell r="P391">
            <v>0</v>
          </cell>
          <cell r="R391">
            <v>1.0252300508275299E-3</v>
          </cell>
          <cell r="S391">
            <v>0</v>
          </cell>
          <cell r="T391">
            <v>0</v>
          </cell>
        </row>
        <row r="392">
          <cell r="A392" t="str">
            <v>OutPatientHealthCareFLOOR 3 WORK</v>
          </cell>
          <cell r="B392" t="str">
            <v>STD2004</v>
          </cell>
          <cell r="C392" t="str">
            <v>Buffalo</v>
          </cell>
          <cell r="D392" t="str">
            <v>OutPatientHealthCare</v>
          </cell>
          <cell r="E392" t="str">
            <v>FLOOR 3 WORK</v>
          </cell>
          <cell r="F392">
            <v>53.33</v>
          </cell>
          <cell r="G392">
            <v>1</v>
          </cell>
          <cell r="H392" t="str">
            <v>Yes</v>
          </cell>
          <cell r="I392" t="str">
            <v>AHU-2</v>
          </cell>
          <cell r="J392">
            <v>38.090000000000003</v>
          </cell>
          <cell r="K392">
            <v>8.93</v>
          </cell>
          <cell r="L392">
            <v>11.840299999999999</v>
          </cell>
          <cell r="M392">
            <v>18.579999999999998</v>
          </cell>
          <cell r="N392">
            <v>11.84</v>
          </cell>
          <cell r="O392">
            <v>0</v>
          </cell>
          <cell r="P392">
            <v>0</v>
          </cell>
          <cell r="R392">
            <v>1.0252300508275299E-3</v>
          </cell>
          <cell r="S392">
            <v>0</v>
          </cell>
          <cell r="T392">
            <v>0</v>
          </cell>
        </row>
        <row r="393">
          <cell r="A393" t="str">
            <v>OutPatientHealthCareNE STAIR</v>
          </cell>
          <cell r="B393" t="str">
            <v>STD2004</v>
          </cell>
          <cell r="C393" t="str">
            <v>Buffalo</v>
          </cell>
          <cell r="D393" t="str">
            <v>OutPatientHealthCare</v>
          </cell>
          <cell r="E393" t="str">
            <v>NE STAIR</v>
          </cell>
          <cell r="F393">
            <v>15.61</v>
          </cell>
          <cell r="G393">
            <v>1</v>
          </cell>
          <cell r="H393" t="str">
            <v>Yes</v>
          </cell>
          <cell r="I393" t="str">
            <v>AHU-2</v>
          </cell>
          <cell r="J393">
            <v>97.55</v>
          </cell>
          <cell r="K393">
            <v>12.03</v>
          </cell>
          <cell r="L393">
            <v>10.3041</v>
          </cell>
          <cell r="M393">
            <v>18.579999999999998</v>
          </cell>
          <cell r="N393">
            <v>4.3099999999999996</v>
          </cell>
          <cell r="O393">
            <v>0</v>
          </cell>
          <cell r="P393">
            <v>0</v>
          </cell>
          <cell r="R393">
            <v>1.0252300508275299E-3</v>
          </cell>
          <cell r="S393">
            <v>0</v>
          </cell>
          <cell r="T393">
            <v>0</v>
          </cell>
        </row>
        <row r="394">
          <cell r="A394" t="str">
            <v>OutPatientHealthCareNW ELEVATOR</v>
          </cell>
          <cell r="B394" t="str">
            <v>STD2004</v>
          </cell>
          <cell r="C394" t="str">
            <v>Buffalo</v>
          </cell>
          <cell r="D394" t="str">
            <v>OutPatientHealthCare</v>
          </cell>
          <cell r="E394" t="str">
            <v>NW ELEVATOR</v>
          </cell>
          <cell r="F394">
            <v>13.01</v>
          </cell>
          <cell r="G394">
            <v>1</v>
          </cell>
          <cell r="H394" t="str">
            <v>Yes</v>
          </cell>
          <cell r="I394" t="str">
            <v>AHU-2</v>
          </cell>
          <cell r="J394">
            <v>75.25</v>
          </cell>
          <cell r="K394">
            <v>0</v>
          </cell>
          <cell r="L394">
            <v>10.3041</v>
          </cell>
          <cell r="M394">
            <v>61.94</v>
          </cell>
          <cell r="N394">
            <v>4.3099999999999996</v>
          </cell>
          <cell r="O394">
            <v>0</v>
          </cell>
          <cell r="P394">
            <v>0</v>
          </cell>
          <cell r="R394">
            <v>1.0252300508275299E-3</v>
          </cell>
          <cell r="S394">
            <v>0</v>
          </cell>
          <cell r="T394">
            <v>0</v>
          </cell>
        </row>
        <row r="395">
          <cell r="A395" t="str">
            <v>OutPatientHealthCareNW STAIR</v>
          </cell>
          <cell r="B395" t="str">
            <v>STD2004</v>
          </cell>
          <cell r="C395" t="str">
            <v>Buffalo</v>
          </cell>
          <cell r="D395" t="str">
            <v>OutPatientHealthCare</v>
          </cell>
          <cell r="E395" t="str">
            <v>NW STAIR</v>
          </cell>
          <cell r="F395">
            <v>17.84</v>
          </cell>
          <cell r="G395">
            <v>1</v>
          </cell>
          <cell r="H395" t="str">
            <v>Yes</v>
          </cell>
          <cell r="I395" t="str">
            <v>AHU-2</v>
          </cell>
          <cell r="J395">
            <v>111.48</v>
          </cell>
          <cell r="K395">
            <v>11.15</v>
          </cell>
          <cell r="L395">
            <v>10.3041</v>
          </cell>
          <cell r="M395">
            <v>18.579999999999998</v>
          </cell>
          <cell r="N395">
            <v>4.3099999999999996</v>
          </cell>
          <cell r="O395">
            <v>0</v>
          </cell>
          <cell r="P395">
            <v>0</v>
          </cell>
          <cell r="R395">
            <v>1.0252300508275299E-3</v>
          </cell>
          <cell r="S395">
            <v>0</v>
          </cell>
          <cell r="T395">
            <v>0</v>
          </cell>
        </row>
        <row r="396">
          <cell r="A396" t="str">
            <v>OutPatientHealthCareSW STAIR</v>
          </cell>
          <cell r="B396" t="str">
            <v>STD2004</v>
          </cell>
          <cell r="C396" t="str">
            <v>Buffalo</v>
          </cell>
          <cell r="D396" t="str">
            <v>OutPatientHealthCare</v>
          </cell>
          <cell r="E396" t="str">
            <v>SW STAIR</v>
          </cell>
          <cell r="F396">
            <v>8.92</v>
          </cell>
          <cell r="G396">
            <v>1</v>
          </cell>
          <cell r="H396" t="str">
            <v>Yes</v>
          </cell>
          <cell r="I396" t="str">
            <v>AHU-2</v>
          </cell>
          <cell r="J396">
            <v>55.74</v>
          </cell>
          <cell r="K396">
            <v>1.1100000000000001</v>
          </cell>
          <cell r="L396">
            <v>10.3041</v>
          </cell>
          <cell r="M396">
            <v>18.579999999999998</v>
          </cell>
          <cell r="N396">
            <v>4.3099999999999996</v>
          </cell>
          <cell r="O396">
            <v>0</v>
          </cell>
          <cell r="P396">
            <v>0</v>
          </cell>
          <cell r="R396">
            <v>1.0252300508275299E-3</v>
          </cell>
          <cell r="S396">
            <v>0</v>
          </cell>
          <cell r="T396">
            <v>0</v>
          </cell>
        </row>
        <row r="397">
          <cell r="A397" t="str">
            <v>OutPatientHealthCareTotal</v>
          </cell>
          <cell r="B397" t="str">
            <v>STD2004</v>
          </cell>
          <cell r="C397" t="str">
            <v>Buffalo</v>
          </cell>
          <cell r="D397" t="str">
            <v>OutPatientHealthCare</v>
          </cell>
          <cell r="E397" t="str">
            <v>Total</v>
          </cell>
          <cell r="F397">
            <v>3804.01</v>
          </cell>
          <cell r="J397">
            <v>1553.34</v>
          </cell>
          <cell r="K397">
            <v>308.36</v>
          </cell>
          <cell r="L397">
            <v>11.626799999999999</v>
          </cell>
          <cell r="M397">
            <v>8.02</v>
          </cell>
          <cell r="N397">
            <v>22.936699999999998</v>
          </cell>
          <cell r="O397">
            <v>0</v>
          </cell>
          <cell r="R397">
            <v>0</v>
          </cell>
          <cell r="S397">
            <v>0</v>
          </cell>
          <cell r="T397">
            <v>0</v>
          </cell>
        </row>
        <row r="398">
          <cell r="A398" t="str">
            <v>OutPatientHealthCareConditioned Total</v>
          </cell>
          <cell r="B398" t="str">
            <v>STD2004</v>
          </cell>
          <cell r="C398" t="str">
            <v>Buffalo</v>
          </cell>
          <cell r="D398" t="str">
            <v>OutPatientHealthCare</v>
          </cell>
          <cell r="E398" t="str">
            <v>Conditioned Total</v>
          </cell>
          <cell r="F398">
            <v>3804.01</v>
          </cell>
          <cell r="J398">
            <v>1553.34</v>
          </cell>
          <cell r="K398">
            <v>308.36</v>
          </cell>
          <cell r="L398">
            <v>11.626799999999999</v>
          </cell>
          <cell r="M398">
            <v>8.02</v>
          </cell>
          <cell r="N398">
            <v>22.936699999999998</v>
          </cell>
          <cell r="O398">
            <v>0</v>
          </cell>
          <cell r="R398">
            <v>0</v>
          </cell>
          <cell r="S398">
            <v>0</v>
          </cell>
          <cell r="T398">
            <v>0</v>
          </cell>
        </row>
        <row r="399">
          <cell r="A399" t="str">
            <v>OutPatientHealthCareUnconditioned Total</v>
          </cell>
          <cell r="B399" t="str">
            <v>STD2004</v>
          </cell>
          <cell r="C399" t="str">
            <v>Buffalo</v>
          </cell>
          <cell r="D399" t="str">
            <v>OutPatientHealthCare</v>
          </cell>
          <cell r="E399" t="str">
            <v>Unconditioned Total</v>
          </cell>
          <cell r="F399">
            <v>0</v>
          </cell>
          <cell r="J399">
            <v>0</v>
          </cell>
          <cell r="K399">
            <v>0</v>
          </cell>
          <cell r="O399">
            <v>0</v>
          </cell>
          <cell r="R399">
            <v>0</v>
          </cell>
          <cell r="S399">
            <v>0</v>
          </cell>
          <cell r="T399">
            <v>0</v>
          </cell>
        </row>
        <row r="400">
          <cell r="A400" t="str">
            <v>OutPatientHealthCareNot Part of Total</v>
          </cell>
          <cell r="B400" t="str">
            <v>STD2004</v>
          </cell>
          <cell r="C400" t="str">
            <v>Buffalo</v>
          </cell>
          <cell r="D400" t="str">
            <v>OutPatientHealthCare</v>
          </cell>
          <cell r="E400" t="str">
            <v>Not Part of Total</v>
          </cell>
          <cell r="F400">
            <v>0</v>
          </cell>
          <cell r="J400">
            <v>0</v>
          </cell>
          <cell r="K400">
            <v>0</v>
          </cell>
          <cell r="O400">
            <v>0</v>
          </cell>
          <cell r="R400">
            <v>0</v>
          </cell>
          <cell r="S400">
            <v>0</v>
          </cell>
          <cell r="T400">
            <v>0</v>
          </cell>
        </row>
        <row r="401">
          <cell r="A401" t="str">
            <v>RestaurantFastFoodDINING</v>
          </cell>
          <cell r="B401" t="str">
            <v>STD2004</v>
          </cell>
          <cell r="C401" t="str">
            <v>Buffalo</v>
          </cell>
          <cell r="D401" t="str">
            <v>RestaurantFastFood</v>
          </cell>
          <cell r="E401" t="str">
            <v>DINING</v>
          </cell>
          <cell r="F401">
            <v>116.17</v>
          </cell>
          <cell r="G401">
            <v>1</v>
          </cell>
          <cell r="H401" t="str">
            <v>Yes</v>
          </cell>
          <cell r="I401" t="str">
            <v>PSZ-AC_1:1</v>
          </cell>
          <cell r="J401">
            <v>92.94</v>
          </cell>
          <cell r="K401">
            <v>26.02</v>
          </cell>
          <cell r="L401">
            <v>9.2637</v>
          </cell>
          <cell r="M401">
            <v>1.33</v>
          </cell>
          <cell r="N401">
            <v>116.7869</v>
          </cell>
          <cell r="O401">
            <v>0</v>
          </cell>
          <cell r="P401">
            <v>0.82620000000000005</v>
          </cell>
          <cell r="Q401">
            <v>0.83</v>
          </cell>
          <cell r="R401">
            <v>1.0252300508275299E-3</v>
          </cell>
          <cell r="S401">
            <v>0</v>
          </cell>
          <cell r="T401">
            <v>0.90283461099999995</v>
          </cell>
        </row>
        <row r="402">
          <cell r="A402" t="str">
            <v>RestaurantFastFoodKITCHEN</v>
          </cell>
          <cell r="B402" t="str">
            <v>STD2004</v>
          </cell>
          <cell r="C402" t="str">
            <v>Buffalo</v>
          </cell>
          <cell r="D402" t="str">
            <v>RestaurantFastFood</v>
          </cell>
          <cell r="E402" t="str">
            <v>KITCHEN</v>
          </cell>
          <cell r="F402">
            <v>116.17</v>
          </cell>
          <cell r="G402">
            <v>1</v>
          </cell>
          <cell r="H402" t="str">
            <v>Yes</v>
          </cell>
          <cell r="I402" t="str">
            <v>PSZ-AC_2:2</v>
          </cell>
          <cell r="J402">
            <v>92.94</v>
          </cell>
          <cell r="K402">
            <v>0</v>
          </cell>
          <cell r="L402">
            <v>11.9458</v>
          </cell>
          <cell r="M402">
            <v>18.52</v>
          </cell>
          <cell r="N402">
            <v>1074.0064</v>
          </cell>
          <cell r="O402">
            <v>91932.600579999998</v>
          </cell>
          <cell r="P402">
            <v>0.1017</v>
          </cell>
          <cell r="Q402">
            <v>1.56</v>
          </cell>
          <cell r="R402">
            <v>1.0252300508275299E-3</v>
          </cell>
          <cell r="S402">
            <v>0</v>
          </cell>
          <cell r="T402">
            <v>0</v>
          </cell>
        </row>
        <row r="403">
          <cell r="A403" t="str">
            <v>RestaurantFastFoodATTIC</v>
          </cell>
          <cell r="B403" t="str">
            <v>STD2004</v>
          </cell>
          <cell r="C403" t="str">
            <v>Buffalo</v>
          </cell>
          <cell r="D403" t="str">
            <v>RestaurantFastFood</v>
          </cell>
          <cell r="E403" t="str">
            <v>ATTIC</v>
          </cell>
          <cell r="F403">
            <v>232.34</v>
          </cell>
          <cell r="G403">
            <v>1</v>
          </cell>
          <cell r="H403" t="str">
            <v>No</v>
          </cell>
          <cell r="J403">
            <v>0</v>
          </cell>
          <cell r="K403">
            <v>0</v>
          </cell>
          <cell r="L403">
            <v>0</v>
          </cell>
          <cell r="N403">
            <v>0</v>
          </cell>
          <cell r="O403">
            <v>0</v>
          </cell>
          <cell r="R403">
            <v>0</v>
          </cell>
          <cell r="S403">
            <v>7.2900000000000006E-2</v>
          </cell>
          <cell r="T403">
            <v>0</v>
          </cell>
        </row>
        <row r="404">
          <cell r="A404" t="str">
            <v>RestaurantFastFoodTotal</v>
          </cell>
          <cell r="B404" t="str">
            <v>STD2004</v>
          </cell>
          <cell r="C404" t="str">
            <v>Buffalo</v>
          </cell>
          <cell r="D404" t="str">
            <v>RestaurantFastFood</v>
          </cell>
          <cell r="E404" t="str">
            <v>Total</v>
          </cell>
          <cell r="F404">
            <v>232.34</v>
          </cell>
          <cell r="J404">
            <v>185.89</v>
          </cell>
          <cell r="K404">
            <v>26.02</v>
          </cell>
          <cell r="L404">
            <v>10.604699999999999</v>
          </cell>
          <cell r="M404">
            <v>2.48</v>
          </cell>
          <cell r="N404">
            <v>595.39670000000001</v>
          </cell>
          <cell r="O404">
            <v>0</v>
          </cell>
          <cell r="R404">
            <v>0</v>
          </cell>
          <cell r="S404">
            <v>0</v>
          </cell>
          <cell r="T404">
            <v>0</v>
          </cell>
        </row>
        <row r="405">
          <cell r="A405" t="str">
            <v>RestaurantFastFoodConditioned Total</v>
          </cell>
          <cell r="B405" t="str">
            <v>STD2004</v>
          </cell>
          <cell r="C405" t="str">
            <v>Buffalo</v>
          </cell>
          <cell r="D405" t="str">
            <v>RestaurantFastFood</v>
          </cell>
          <cell r="E405" t="str">
            <v>Conditioned Total</v>
          </cell>
          <cell r="F405">
            <v>232.34</v>
          </cell>
          <cell r="J405">
            <v>185.89</v>
          </cell>
          <cell r="K405">
            <v>26.02</v>
          </cell>
          <cell r="L405">
            <v>10.604699999999999</v>
          </cell>
          <cell r="M405">
            <v>2.48</v>
          </cell>
          <cell r="N405">
            <v>595.39670000000001</v>
          </cell>
          <cell r="O405">
            <v>0</v>
          </cell>
          <cell r="R405">
            <v>0</v>
          </cell>
          <cell r="S405">
            <v>0</v>
          </cell>
          <cell r="T405">
            <v>0</v>
          </cell>
        </row>
        <row r="406">
          <cell r="A406" t="str">
            <v>RestaurantFastFoodUnconditioned Total</v>
          </cell>
          <cell r="B406" t="str">
            <v>STD2004</v>
          </cell>
          <cell r="C406" t="str">
            <v>Buffalo</v>
          </cell>
          <cell r="D406" t="str">
            <v>RestaurantFastFood</v>
          </cell>
          <cell r="E406" t="str">
            <v>Unconditioned Total</v>
          </cell>
          <cell r="F406">
            <v>0</v>
          </cell>
          <cell r="J406">
            <v>0</v>
          </cell>
          <cell r="K406">
            <v>0</v>
          </cell>
          <cell r="O406">
            <v>0</v>
          </cell>
          <cell r="R406">
            <v>0</v>
          </cell>
          <cell r="S406">
            <v>0</v>
          </cell>
          <cell r="T406">
            <v>0</v>
          </cell>
        </row>
        <row r="407">
          <cell r="A407" t="str">
            <v>RestaurantFastFoodNot Part of Total</v>
          </cell>
          <cell r="B407" t="str">
            <v>STD2004</v>
          </cell>
          <cell r="C407" t="str">
            <v>Buffalo</v>
          </cell>
          <cell r="D407" t="str">
            <v>RestaurantFastFood</v>
          </cell>
          <cell r="E407" t="str">
            <v>Not Part of Total</v>
          </cell>
          <cell r="F407">
            <v>232.34</v>
          </cell>
          <cell r="J407">
            <v>0</v>
          </cell>
          <cell r="K407">
            <v>0</v>
          </cell>
          <cell r="L407">
            <v>0</v>
          </cell>
          <cell r="N407">
            <v>0</v>
          </cell>
          <cell r="O407">
            <v>0</v>
          </cell>
          <cell r="R407">
            <v>0</v>
          </cell>
          <cell r="S407">
            <v>0</v>
          </cell>
          <cell r="T407">
            <v>0</v>
          </cell>
        </row>
        <row r="408">
          <cell r="A408" t="str">
            <v>RestaurantSitDownDINING</v>
          </cell>
          <cell r="B408" t="str">
            <v>STD2004</v>
          </cell>
          <cell r="C408" t="str">
            <v>Buffalo</v>
          </cell>
          <cell r="D408" t="str">
            <v>RestaurantSitDown</v>
          </cell>
          <cell r="E408" t="str">
            <v>DINING</v>
          </cell>
          <cell r="F408">
            <v>371.75</v>
          </cell>
          <cell r="G408">
            <v>1</v>
          </cell>
          <cell r="H408" t="str">
            <v>Yes</v>
          </cell>
          <cell r="I408" t="str">
            <v>PSZ-AC_1:1</v>
          </cell>
          <cell r="J408">
            <v>169.19</v>
          </cell>
          <cell r="K408">
            <v>47.17</v>
          </cell>
          <cell r="L408">
            <v>20.631900000000002</v>
          </cell>
          <cell r="M408">
            <v>1.33</v>
          </cell>
          <cell r="N408">
            <v>64.927499999999995</v>
          </cell>
          <cell r="O408">
            <v>0</v>
          </cell>
          <cell r="P408">
            <v>2.6438999999999999</v>
          </cell>
          <cell r="Q408">
            <v>2.64</v>
          </cell>
          <cell r="R408">
            <v>1.0252300508275299E-3</v>
          </cell>
          <cell r="S408">
            <v>0</v>
          </cell>
          <cell r="T408">
            <v>0.61447499400000005</v>
          </cell>
        </row>
        <row r="409">
          <cell r="A409" t="str">
            <v>RestaurantSitDownKITCHEN</v>
          </cell>
          <cell r="B409" t="str">
            <v>STD2004</v>
          </cell>
          <cell r="C409" t="str">
            <v>Buffalo</v>
          </cell>
          <cell r="D409" t="str">
            <v>RestaurantSitDown</v>
          </cell>
          <cell r="E409" t="str">
            <v>KITCHEN</v>
          </cell>
          <cell r="F409">
            <v>139.41</v>
          </cell>
          <cell r="G409">
            <v>1</v>
          </cell>
          <cell r="H409" t="str">
            <v>Yes</v>
          </cell>
          <cell r="I409" t="str">
            <v>PSZ-AC_2:2</v>
          </cell>
          <cell r="J409">
            <v>106.53</v>
          </cell>
          <cell r="K409">
            <v>0</v>
          </cell>
          <cell r="L409">
            <v>11.3949</v>
          </cell>
          <cell r="M409">
            <v>18.52</v>
          </cell>
          <cell r="N409">
            <v>1063.0800999999999</v>
          </cell>
          <cell r="O409">
            <v>90512.482390000005</v>
          </cell>
          <cell r="P409">
            <v>0.1242</v>
          </cell>
          <cell r="Q409">
            <v>2.83</v>
          </cell>
          <cell r="R409">
            <v>1.0252300508275299E-3</v>
          </cell>
          <cell r="S409">
            <v>0</v>
          </cell>
          <cell r="T409">
            <v>0</v>
          </cell>
        </row>
        <row r="410">
          <cell r="A410" t="str">
            <v>RestaurantSitDownATTIC</v>
          </cell>
          <cell r="B410" t="str">
            <v>STD2004</v>
          </cell>
          <cell r="C410" t="str">
            <v>Buffalo</v>
          </cell>
          <cell r="D410" t="str">
            <v>RestaurantSitDown</v>
          </cell>
          <cell r="E410" t="str">
            <v>ATTIC</v>
          </cell>
          <cell r="F410">
            <v>511.15</v>
          </cell>
          <cell r="G410">
            <v>1</v>
          </cell>
          <cell r="H410" t="str">
            <v>No</v>
          </cell>
          <cell r="J410">
            <v>0</v>
          </cell>
          <cell r="K410">
            <v>0</v>
          </cell>
          <cell r="L410">
            <v>0</v>
          </cell>
          <cell r="N410">
            <v>0</v>
          </cell>
          <cell r="O410">
            <v>0</v>
          </cell>
          <cell r="R410">
            <v>0</v>
          </cell>
          <cell r="S410">
            <v>0.23780000000000001</v>
          </cell>
          <cell r="T410">
            <v>0</v>
          </cell>
        </row>
        <row r="411">
          <cell r="A411" t="str">
            <v>RestaurantSitDownTotal</v>
          </cell>
          <cell r="B411" t="str">
            <v>STD2004</v>
          </cell>
          <cell r="C411" t="str">
            <v>Buffalo</v>
          </cell>
          <cell r="D411" t="str">
            <v>RestaurantSitDown</v>
          </cell>
          <cell r="E411" t="str">
            <v>Total</v>
          </cell>
          <cell r="F411">
            <v>511.15</v>
          </cell>
          <cell r="J411">
            <v>275.72000000000003</v>
          </cell>
          <cell r="K411">
            <v>47.17</v>
          </cell>
          <cell r="L411">
            <v>18.1127</v>
          </cell>
          <cell r="M411">
            <v>1.78</v>
          </cell>
          <cell r="N411">
            <v>337.15050000000002</v>
          </cell>
          <cell r="O411">
            <v>0</v>
          </cell>
          <cell r="R411">
            <v>0</v>
          </cell>
          <cell r="S411">
            <v>0</v>
          </cell>
          <cell r="T411">
            <v>0</v>
          </cell>
        </row>
        <row r="412">
          <cell r="A412" t="str">
            <v>RestaurantSitDownConditioned Total</v>
          </cell>
          <cell r="B412" t="str">
            <v>STD2004</v>
          </cell>
          <cell r="C412" t="str">
            <v>Buffalo</v>
          </cell>
          <cell r="D412" t="str">
            <v>RestaurantSitDown</v>
          </cell>
          <cell r="E412" t="str">
            <v>Conditioned Total</v>
          </cell>
          <cell r="F412">
            <v>511.15</v>
          </cell>
          <cell r="J412">
            <v>275.72000000000003</v>
          </cell>
          <cell r="K412">
            <v>47.17</v>
          </cell>
          <cell r="L412">
            <v>18.1127</v>
          </cell>
          <cell r="M412">
            <v>1.78</v>
          </cell>
          <cell r="N412">
            <v>337.15050000000002</v>
          </cell>
          <cell r="O412">
            <v>0</v>
          </cell>
          <cell r="R412">
            <v>0</v>
          </cell>
          <cell r="S412">
            <v>0</v>
          </cell>
          <cell r="T412">
            <v>0</v>
          </cell>
        </row>
        <row r="413">
          <cell r="A413" t="str">
            <v>RestaurantSitDownUnconditioned Total</v>
          </cell>
          <cell r="B413" t="str">
            <v>STD2004</v>
          </cell>
          <cell r="C413" t="str">
            <v>Buffalo</v>
          </cell>
          <cell r="D413" t="str">
            <v>RestaurantSitDown</v>
          </cell>
          <cell r="E413" t="str">
            <v>Unconditioned Total</v>
          </cell>
          <cell r="F413">
            <v>0</v>
          </cell>
          <cell r="J413">
            <v>0</v>
          </cell>
          <cell r="K413">
            <v>0</v>
          </cell>
          <cell r="O413">
            <v>0</v>
          </cell>
          <cell r="R413">
            <v>0</v>
          </cell>
          <cell r="S413">
            <v>0</v>
          </cell>
          <cell r="T413">
            <v>0</v>
          </cell>
        </row>
        <row r="414">
          <cell r="A414" t="str">
            <v>RestaurantSitDownNot Part of Total</v>
          </cell>
          <cell r="B414" t="str">
            <v>STD2004</v>
          </cell>
          <cell r="C414" t="str">
            <v>Buffalo</v>
          </cell>
          <cell r="D414" t="str">
            <v>RestaurantSitDown</v>
          </cell>
          <cell r="E414" t="str">
            <v>Not Part of Total</v>
          </cell>
          <cell r="F414">
            <v>511.15</v>
          </cell>
          <cell r="J414">
            <v>0</v>
          </cell>
          <cell r="K414">
            <v>0</v>
          </cell>
          <cell r="L414">
            <v>0</v>
          </cell>
          <cell r="N414">
            <v>0</v>
          </cell>
          <cell r="O414">
            <v>0</v>
          </cell>
          <cell r="R414">
            <v>0</v>
          </cell>
          <cell r="S414">
            <v>0</v>
          </cell>
          <cell r="T414">
            <v>0</v>
          </cell>
        </row>
        <row r="415">
          <cell r="A415" t="str">
            <v>RetailStandaloneBACK_SPACE</v>
          </cell>
          <cell r="B415" t="str">
            <v>STD2004</v>
          </cell>
          <cell r="C415" t="str">
            <v>Buffalo</v>
          </cell>
          <cell r="D415" t="str">
            <v>RetailStandalone</v>
          </cell>
          <cell r="E415" t="str">
            <v>BACK_SPACE</v>
          </cell>
          <cell r="F415">
            <v>379.89</v>
          </cell>
          <cell r="G415">
            <v>1</v>
          </cell>
          <cell r="H415" t="str">
            <v>Yes</v>
          </cell>
          <cell r="I415" t="str">
            <v>PSZ-AC:1</v>
          </cell>
          <cell r="J415">
            <v>416.17</v>
          </cell>
          <cell r="K415">
            <v>0</v>
          </cell>
          <cell r="L415">
            <v>9.0271000000000008</v>
          </cell>
          <cell r="M415">
            <v>46.45</v>
          </cell>
          <cell r="N415">
            <v>8.07</v>
          </cell>
          <cell r="O415">
            <v>0</v>
          </cell>
          <cell r="P415">
            <v>0.28949999999999998</v>
          </cell>
          <cell r="R415">
            <v>1.0252300508275299E-3</v>
          </cell>
          <cell r="S415">
            <v>0</v>
          </cell>
          <cell r="T415">
            <v>0</v>
          </cell>
        </row>
        <row r="416">
          <cell r="A416" t="str">
            <v>RetailStandaloneCORE_RETAIL</v>
          </cell>
          <cell r="B416" t="str">
            <v>STD2004</v>
          </cell>
          <cell r="C416" t="str">
            <v>Buffalo</v>
          </cell>
          <cell r="D416" t="str">
            <v>RetailStandalone</v>
          </cell>
          <cell r="E416" t="str">
            <v>CORE_RETAIL</v>
          </cell>
          <cell r="F416">
            <v>1600.48</v>
          </cell>
          <cell r="G416">
            <v>1</v>
          </cell>
          <cell r="H416" t="str">
            <v>Yes</v>
          </cell>
          <cell r="I416" t="str">
            <v>PSZ-AC:2</v>
          </cell>
          <cell r="J416">
            <v>356.86</v>
          </cell>
          <cell r="K416">
            <v>0</v>
          </cell>
          <cell r="L416">
            <v>18.2986</v>
          </cell>
          <cell r="M416">
            <v>6.19</v>
          </cell>
          <cell r="N416">
            <v>3.23</v>
          </cell>
          <cell r="O416">
            <v>0</v>
          </cell>
          <cell r="P416">
            <v>2.4390999999999998</v>
          </cell>
          <cell r="R416">
            <v>1.0252300508275299E-3</v>
          </cell>
          <cell r="S416">
            <v>0</v>
          </cell>
          <cell r="T416">
            <v>0</v>
          </cell>
        </row>
        <row r="417">
          <cell r="A417" t="str">
            <v>RetailStandalonePOINT_OF_SALE</v>
          </cell>
          <cell r="B417" t="str">
            <v>STD2004</v>
          </cell>
          <cell r="C417" t="str">
            <v>Buffalo</v>
          </cell>
          <cell r="D417" t="str">
            <v>RetailStandalone</v>
          </cell>
          <cell r="E417" t="str">
            <v>POINT_OF_SALE</v>
          </cell>
          <cell r="F417">
            <v>150.81</v>
          </cell>
          <cell r="G417">
            <v>1</v>
          </cell>
          <cell r="H417" t="str">
            <v>Yes</v>
          </cell>
          <cell r="I417" t="str">
            <v>PSZ-AC:3</v>
          </cell>
          <cell r="J417">
            <v>189.8</v>
          </cell>
          <cell r="K417">
            <v>38.06</v>
          </cell>
          <cell r="L417">
            <v>18.2986</v>
          </cell>
          <cell r="M417">
            <v>6.19</v>
          </cell>
          <cell r="N417">
            <v>21.52</v>
          </cell>
          <cell r="O417">
            <v>0</v>
          </cell>
          <cell r="P417">
            <v>0.2298</v>
          </cell>
          <cell r="R417">
            <v>1.0252300508275299E-3</v>
          </cell>
          <cell r="S417">
            <v>0</v>
          </cell>
          <cell r="T417">
            <v>0</v>
          </cell>
        </row>
        <row r="418">
          <cell r="A418" t="str">
            <v>RetailStandaloneFRONT_RETAIL</v>
          </cell>
          <cell r="B418" t="str">
            <v>STD2004</v>
          </cell>
          <cell r="C418" t="str">
            <v>Buffalo</v>
          </cell>
          <cell r="D418" t="str">
            <v>RetailStandalone</v>
          </cell>
          <cell r="E418" t="str">
            <v>FRONT_RETAIL</v>
          </cell>
          <cell r="F418">
            <v>150.81</v>
          </cell>
          <cell r="G418">
            <v>1</v>
          </cell>
          <cell r="H418" t="str">
            <v>Yes</v>
          </cell>
          <cell r="I418" t="str">
            <v>PSZ-AC:4</v>
          </cell>
          <cell r="J418">
            <v>189.8</v>
          </cell>
          <cell r="K418">
            <v>38.06</v>
          </cell>
          <cell r="L418">
            <v>18.2986</v>
          </cell>
          <cell r="M418">
            <v>6.19</v>
          </cell>
          <cell r="N418">
            <v>3.23</v>
          </cell>
          <cell r="O418">
            <v>0</v>
          </cell>
          <cell r="P418">
            <v>0.2298</v>
          </cell>
          <cell r="R418">
            <v>1.0252300508275299E-3</v>
          </cell>
          <cell r="S418">
            <v>0</v>
          </cell>
          <cell r="T418">
            <v>0</v>
          </cell>
        </row>
        <row r="419">
          <cell r="A419" t="str">
            <v>RetailStandaloneFRONT_ENTRY</v>
          </cell>
          <cell r="B419" t="str">
            <v>STD2004</v>
          </cell>
          <cell r="C419" t="str">
            <v>Buffalo</v>
          </cell>
          <cell r="D419" t="str">
            <v>RetailStandalone</v>
          </cell>
          <cell r="E419" t="str">
            <v>FRONT_ENTRY</v>
          </cell>
          <cell r="F419">
            <v>12</v>
          </cell>
          <cell r="G419">
            <v>1</v>
          </cell>
          <cell r="H419" t="str">
            <v>Yes</v>
          </cell>
          <cell r="I419" t="str">
            <v>Front_Entry Unit Heater</v>
          </cell>
          <cell r="J419">
            <v>24.38</v>
          </cell>
          <cell r="K419">
            <v>7.83</v>
          </cell>
          <cell r="L419">
            <v>10.979200000000001</v>
          </cell>
          <cell r="M419">
            <v>6.19</v>
          </cell>
          <cell r="N419">
            <v>0</v>
          </cell>
          <cell r="O419">
            <v>0</v>
          </cell>
          <cell r="R419">
            <v>1.0252300508275299E-3</v>
          </cell>
          <cell r="S419">
            <v>0</v>
          </cell>
          <cell r="T419">
            <v>1.418672682</v>
          </cell>
        </row>
        <row r="420">
          <cell r="A420" t="str">
            <v>RetailStandaloneTotal</v>
          </cell>
          <cell r="B420" t="str">
            <v>STD2004</v>
          </cell>
          <cell r="C420" t="str">
            <v>Buffalo</v>
          </cell>
          <cell r="D420" t="str">
            <v>RetailStandalone</v>
          </cell>
          <cell r="E420" t="str">
            <v>Total</v>
          </cell>
          <cell r="F420">
            <v>2293.9899999999998</v>
          </cell>
          <cell r="J420">
            <v>1177.02</v>
          </cell>
          <cell r="K420">
            <v>83.95</v>
          </cell>
          <cell r="L420">
            <v>16.725000000000001</v>
          </cell>
          <cell r="M420">
            <v>7.23</v>
          </cell>
          <cell r="N420">
            <v>5.2169999999999996</v>
          </cell>
          <cell r="O420">
            <v>0</v>
          </cell>
          <cell r="R420">
            <v>0</v>
          </cell>
          <cell r="S420">
            <v>0</v>
          </cell>
          <cell r="T420">
            <v>0</v>
          </cell>
        </row>
        <row r="421">
          <cell r="A421" t="str">
            <v>RetailStandaloneConditioned Total</v>
          </cell>
          <cell r="B421" t="str">
            <v>STD2004</v>
          </cell>
          <cell r="C421" t="str">
            <v>Buffalo</v>
          </cell>
          <cell r="D421" t="str">
            <v>RetailStandalone</v>
          </cell>
          <cell r="E421" t="str">
            <v>Conditioned Total</v>
          </cell>
          <cell r="F421">
            <v>2293.9899999999998</v>
          </cell>
          <cell r="J421">
            <v>1177.02</v>
          </cell>
          <cell r="K421">
            <v>83.95</v>
          </cell>
          <cell r="L421">
            <v>16.725000000000001</v>
          </cell>
          <cell r="M421">
            <v>7.23</v>
          </cell>
          <cell r="N421">
            <v>5.2169999999999996</v>
          </cell>
          <cell r="O421">
            <v>0</v>
          </cell>
          <cell r="R421">
            <v>0</v>
          </cell>
          <cell r="S421">
            <v>0</v>
          </cell>
          <cell r="T421">
            <v>0</v>
          </cell>
        </row>
        <row r="422">
          <cell r="A422" t="str">
            <v>RetailStandaloneUnconditioned Total</v>
          </cell>
          <cell r="B422" t="str">
            <v>STD2004</v>
          </cell>
          <cell r="C422" t="str">
            <v>Buffalo</v>
          </cell>
          <cell r="D422" t="str">
            <v>RetailStandalone</v>
          </cell>
          <cell r="E422" t="str">
            <v>Unconditioned Total</v>
          </cell>
          <cell r="F422">
            <v>0</v>
          </cell>
          <cell r="J422">
            <v>0</v>
          </cell>
          <cell r="K422">
            <v>0</v>
          </cell>
          <cell r="O422">
            <v>0</v>
          </cell>
          <cell r="R422">
            <v>0</v>
          </cell>
          <cell r="S422">
            <v>0</v>
          </cell>
          <cell r="T422">
            <v>0</v>
          </cell>
        </row>
        <row r="423">
          <cell r="A423" t="str">
            <v>RetailStandaloneNot Part of Total</v>
          </cell>
          <cell r="B423" t="str">
            <v>STD2004</v>
          </cell>
          <cell r="C423" t="str">
            <v>Buffalo</v>
          </cell>
          <cell r="D423" t="str">
            <v>RetailStandalone</v>
          </cell>
          <cell r="E423" t="str">
            <v>Not Part of Total</v>
          </cell>
          <cell r="F423">
            <v>0</v>
          </cell>
          <cell r="J423">
            <v>0</v>
          </cell>
          <cell r="K423">
            <v>0</v>
          </cell>
          <cell r="O423">
            <v>0</v>
          </cell>
          <cell r="R423">
            <v>0</v>
          </cell>
          <cell r="S423">
            <v>0</v>
          </cell>
          <cell r="T423">
            <v>0</v>
          </cell>
        </row>
        <row r="424">
          <cell r="A424" t="str">
            <v>RetailStripmallLGSTORE1</v>
          </cell>
          <cell r="B424" t="str">
            <v>STD2004</v>
          </cell>
          <cell r="C424" t="str">
            <v>Buffalo</v>
          </cell>
          <cell r="D424" t="str">
            <v>RetailStripmall</v>
          </cell>
          <cell r="E424" t="str">
            <v>LGSTORE1</v>
          </cell>
          <cell r="F424">
            <v>348.39</v>
          </cell>
          <cell r="G424">
            <v>1</v>
          </cell>
          <cell r="H424" t="str">
            <v>Yes</v>
          </cell>
          <cell r="I424" t="str">
            <v>PSZ-AC_1:1</v>
          </cell>
          <cell r="J424">
            <v>276.3</v>
          </cell>
          <cell r="K424">
            <v>20.77</v>
          </cell>
          <cell r="L424">
            <v>26.400099999999998</v>
          </cell>
          <cell r="M424">
            <v>6.19</v>
          </cell>
          <cell r="N424">
            <v>4.3</v>
          </cell>
          <cell r="O424">
            <v>0</v>
          </cell>
          <cell r="P424">
            <v>0.53090000000000004</v>
          </cell>
          <cell r="R424">
            <v>1.0252300508275299E-3</v>
          </cell>
          <cell r="S424">
            <v>0</v>
          </cell>
          <cell r="T424">
            <v>0.388884328</v>
          </cell>
        </row>
        <row r="425">
          <cell r="A425" t="str">
            <v>RetailStripmallSMSTORE1</v>
          </cell>
          <cell r="B425" t="str">
            <v>STD2004</v>
          </cell>
          <cell r="C425" t="str">
            <v>Buffalo</v>
          </cell>
          <cell r="D425" t="str">
            <v>RetailStripmall</v>
          </cell>
          <cell r="E425" t="str">
            <v>SMSTORE1</v>
          </cell>
          <cell r="F425">
            <v>174.19</v>
          </cell>
          <cell r="G425">
            <v>1</v>
          </cell>
          <cell r="H425" t="str">
            <v>Yes</v>
          </cell>
          <cell r="I425" t="str">
            <v>PSZ-AC_2:2</v>
          </cell>
          <cell r="J425">
            <v>78.94</v>
          </cell>
          <cell r="K425">
            <v>10.38</v>
          </cell>
          <cell r="L425">
            <v>26.666499999999999</v>
          </cell>
          <cell r="M425">
            <v>6.19</v>
          </cell>
          <cell r="N425">
            <v>4.3</v>
          </cell>
          <cell r="O425">
            <v>0</v>
          </cell>
          <cell r="P425">
            <v>0.26550000000000001</v>
          </cell>
          <cell r="R425">
            <v>1.0252300508275299E-3</v>
          </cell>
          <cell r="S425">
            <v>0</v>
          </cell>
          <cell r="T425">
            <v>0.22228703699999999</v>
          </cell>
        </row>
        <row r="426">
          <cell r="A426" t="str">
            <v>RetailStripmallSMSTORE2</v>
          </cell>
          <cell r="B426" t="str">
            <v>STD2004</v>
          </cell>
          <cell r="C426" t="str">
            <v>Buffalo</v>
          </cell>
          <cell r="D426" t="str">
            <v>RetailStripmall</v>
          </cell>
          <cell r="E426" t="str">
            <v>SMSTORE2</v>
          </cell>
          <cell r="F426">
            <v>174.19</v>
          </cell>
          <cell r="G426">
            <v>1</v>
          </cell>
          <cell r="H426" t="str">
            <v>Yes</v>
          </cell>
          <cell r="I426" t="str">
            <v>PSZ-AC_3:3</v>
          </cell>
          <cell r="J426">
            <v>78.94</v>
          </cell>
          <cell r="K426">
            <v>10.36</v>
          </cell>
          <cell r="L426">
            <v>20.4514</v>
          </cell>
          <cell r="M426">
            <v>6.19</v>
          </cell>
          <cell r="N426">
            <v>4.3</v>
          </cell>
          <cell r="O426">
            <v>0</v>
          </cell>
          <cell r="P426">
            <v>0.26550000000000001</v>
          </cell>
          <cell r="R426">
            <v>1.0252300508275299E-3</v>
          </cell>
          <cell r="S426">
            <v>0</v>
          </cell>
          <cell r="T426">
            <v>0.22228703699999999</v>
          </cell>
        </row>
        <row r="427">
          <cell r="A427" t="str">
            <v>RetailStripmallSMSTORE3</v>
          </cell>
          <cell r="B427" t="str">
            <v>STD2004</v>
          </cell>
          <cell r="C427" t="str">
            <v>Buffalo</v>
          </cell>
          <cell r="D427" t="str">
            <v>RetailStripmall</v>
          </cell>
          <cell r="E427" t="str">
            <v>SMSTORE3</v>
          </cell>
          <cell r="F427">
            <v>174.19</v>
          </cell>
          <cell r="G427">
            <v>1</v>
          </cell>
          <cell r="H427" t="str">
            <v>Yes</v>
          </cell>
          <cell r="I427" t="str">
            <v>PSZ-AC_4:4</v>
          </cell>
          <cell r="J427">
            <v>78.94</v>
          </cell>
          <cell r="K427">
            <v>10.36</v>
          </cell>
          <cell r="L427">
            <v>20.4514</v>
          </cell>
          <cell r="M427">
            <v>6.19</v>
          </cell>
          <cell r="N427">
            <v>4.3</v>
          </cell>
          <cell r="O427">
            <v>0</v>
          </cell>
          <cell r="P427">
            <v>0.26550000000000001</v>
          </cell>
          <cell r="R427">
            <v>1.0252300508275299E-3</v>
          </cell>
          <cell r="S427">
            <v>0</v>
          </cell>
          <cell r="T427">
            <v>0.22228703699999999</v>
          </cell>
        </row>
        <row r="428">
          <cell r="A428" t="str">
            <v>RetailStripmallSMSTORE4</v>
          </cell>
          <cell r="B428" t="str">
            <v>STD2004</v>
          </cell>
          <cell r="C428" t="str">
            <v>Buffalo</v>
          </cell>
          <cell r="D428" t="str">
            <v>RetailStripmall</v>
          </cell>
          <cell r="E428" t="str">
            <v>SMSTORE4</v>
          </cell>
          <cell r="F428">
            <v>174.19</v>
          </cell>
          <cell r="G428">
            <v>1</v>
          </cell>
          <cell r="H428" t="str">
            <v>Yes</v>
          </cell>
          <cell r="I428" t="str">
            <v>PSZ-AC_5:5</v>
          </cell>
          <cell r="J428">
            <v>78.94</v>
          </cell>
          <cell r="K428">
            <v>10.36</v>
          </cell>
          <cell r="L428">
            <v>20.4514</v>
          </cell>
          <cell r="M428">
            <v>6.19</v>
          </cell>
          <cell r="N428">
            <v>4.3</v>
          </cell>
          <cell r="O428">
            <v>0</v>
          </cell>
          <cell r="P428">
            <v>0.26550000000000001</v>
          </cell>
          <cell r="R428">
            <v>1.0252300508275299E-3</v>
          </cell>
          <cell r="S428">
            <v>0</v>
          </cell>
          <cell r="T428">
            <v>0.22228703699999999</v>
          </cell>
        </row>
        <row r="429">
          <cell r="A429" t="str">
            <v>RetailStripmallLGSTORE2</v>
          </cell>
          <cell r="B429" t="str">
            <v>STD2004</v>
          </cell>
          <cell r="C429" t="str">
            <v>Buffalo</v>
          </cell>
          <cell r="D429" t="str">
            <v>RetailStripmall</v>
          </cell>
          <cell r="E429" t="str">
            <v>LGSTORE2</v>
          </cell>
          <cell r="F429">
            <v>348.39</v>
          </cell>
          <cell r="G429">
            <v>1</v>
          </cell>
          <cell r="H429" t="str">
            <v>Yes</v>
          </cell>
          <cell r="I429" t="str">
            <v>PSZ-AC_6:6</v>
          </cell>
          <cell r="J429">
            <v>157.88999999999999</v>
          </cell>
          <cell r="K429">
            <v>20.72</v>
          </cell>
          <cell r="L429">
            <v>15.8794</v>
          </cell>
          <cell r="M429">
            <v>6.19</v>
          </cell>
          <cell r="N429">
            <v>4.3</v>
          </cell>
          <cell r="O429">
            <v>0</v>
          </cell>
          <cell r="P429">
            <v>0.53090000000000004</v>
          </cell>
          <cell r="R429">
            <v>1.0252300508275299E-3</v>
          </cell>
          <cell r="S429">
            <v>0</v>
          </cell>
          <cell r="T429">
            <v>0.388884328</v>
          </cell>
        </row>
        <row r="430">
          <cell r="A430" t="str">
            <v>RetailStripmallSMSTORE5</v>
          </cell>
          <cell r="B430" t="str">
            <v>STD2004</v>
          </cell>
          <cell r="C430" t="str">
            <v>Buffalo</v>
          </cell>
          <cell r="D430" t="str">
            <v>RetailStripmall</v>
          </cell>
          <cell r="E430" t="str">
            <v>SMSTORE5</v>
          </cell>
          <cell r="F430">
            <v>174.19</v>
          </cell>
          <cell r="G430">
            <v>1</v>
          </cell>
          <cell r="H430" t="str">
            <v>Yes</v>
          </cell>
          <cell r="I430" t="str">
            <v>PSZ-AC_7:7</v>
          </cell>
          <cell r="J430">
            <v>78.94</v>
          </cell>
          <cell r="K430">
            <v>10.36</v>
          </cell>
          <cell r="L430">
            <v>16.145800000000001</v>
          </cell>
          <cell r="M430">
            <v>6.19</v>
          </cell>
          <cell r="N430">
            <v>4.3</v>
          </cell>
          <cell r="O430">
            <v>0</v>
          </cell>
          <cell r="P430">
            <v>0.26550000000000001</v>
          </cell>
          <cell r="R430">
            <v>1.0252300508275299E-3</v>
          </cell>
          <cell r="S430">
            <v>0</v>
          </cell>
          <cell r="T430">
            <v>0.22228703699999999</v>
          </cell>
        </row>
        <row r="431">
          <cell r="A431" t="str">
            <v>RetailStripmallSMSTORE6</v>
          </cell>
          <cell r="B431" t="str">
            <v>STD2004</v>
          </cell>
          <cell r="C431" t="str">
            <v>Buffalo</v>
          </cell>
          <cell r="D431" t="str">
            <v>RetailStripmall</v>
          </cell>
          <cell r="E431" t="str">
            <v>SMSTORE6</v>
          </cell>
          <cell r="F431">
            <v>174.19</v>
          </cell>
          <cell r="G431">
            <v>1</v>
          </cell>
          <cell r="H431" t="str">
            <v>Yes</v>
          </cell>
          <cell r="I431" t="str">
            <v>PSZ-AC_8:8</v>
          </cell>
          <cell r="J431">
            <v>78.94</v>
          </cell>
          <cell r="K431">
            <v>10.36</v>
          </cell>
          <cell r="L431">
            <v>16.145800000000001</v>
          </cell>
          <cell r="M431">
            <v>6.19</v>
          </cell>
          <cell r="N431">
            <v>4.3</v>
          </cell>
          <cell r="O431">
            <v>0</v>
          </cell>
          <cell r="P431">
            <v>0.26550000000000001</v>
          </cell>
          <cell r="R431">
            <v>1.0252300508275299E-3</v>
          </cell>
          <cell r="S431">
            <v>0</v>
          </cell>
          <cell r="T431">
            <v>0.22228703699999999</v>
          </cell>
        </row>
        <row r="432">
          <cell r="A432" t="str">
            <v>RetailStripmallSMSTORE7</v>
          </cell>
          <cell r="B432" t="str">
            <v>STD2004</v>
          </cell>
          <cell r="C432" t="str">
            <v>Buffalo</v>
          </cell>
          <cell r="D432" t="str">
            <v>RetailStripmall</v>
          </cell>
          <cell r="E432" t="str">
            <v>SMSTORE7</v>
          </cell>
          <cell r="F432">
            <v>174.19</v>
          </cell>
          <cell r="G432">
            <v>1</v>
          </cell>
          <cell r="H432" t="str">
            <v>Yes</v>
          </cell>
          <cell r="I432" t="str">
            <v>PSZ-AC_9:9</v>
          </cell>
          <cell r="J432">
            <v>78.94</v>
          </cell>
          <cell r="K432">
            <v>10.36</v>
          </cell>
          <cell r="L432">
            <v>16.145800000000001</v>
          </cell>
          <cell r="M432">
            <v>6.19</v>
          </cell>
          <cell r="N432">
            <v>4.3</v>
          </cell>
          <cell r="O432">
            <v>0</v>
          </cell>
          <cell r="P432">
            <v>0.26550000000000001</v>
          </cell>
          <cell r="R432">
            <v>1.0252300508275299E-3</v>
          </cell>
          <cell r="S432">
            <v>0</v>
          </cell>
          <cell r="T432">
            <v>0.22228703699999999</v>
          </cell>
        </row>
        <row r="433">
          <cell r="A433" t="str">
            <v>RetailStripmallSMSTORE8</v>
          </cell>
          <cell r="B433" t="str">
            <v>STD2004</v>
          </cell>
          <cell r="C433" t="str">
            <v>Buffalo</v>
          </cell>
          <cell r="D433" t="str">
            <v>RetailStripmall</v>
          </cell>
          <cell r="E433" t="str">
            <v>SMSTORE8</v>
          </cell>
          <cell r="F433">
            <v>174.19</v>
          </cell>
          <cell r="G433">
            <v>1</v>
          </cell>
          <cell r="H433" t="str">
            <v>Yes</v>
          </cell>
          <cell r="I433" t="str">
            <v>PSZ-AC_10:10</v>
          </cell>
          <cell r="J433">
            <v>197.36</v>
          </cell>
          <cell r="K433">
            <v>10.36</v>
          </cell>
          <cell r="L433">
            <v>16.145800000000001</v>
          </cell>
          <cell r="M433">
            <v>6.19</v>
          </cell>
          <cell r="N433">
            <v>4.3</v>
          </cell>
          <cell r="O433">
            <v>0</v>
          </cell>
          <cell r="P433">
            <v>0.26550000000000001</v>
          </cell>
          <cell r="R433">
            <v>1.0252300508275299E-3</v>
          </cell>
          <cell r="S433">
            <v>0</v>
          </cell>
          <cell r="T433">
            <v>0.22228703699999999</v>
          </cell>
        </row>
        <row r="434">
          <cell r="A434" t="str">
            <v>RetailStripmallTotal</v>
          </cell>
          <cell r="B434" t="str">
            <v>STD2004</v>
          </cell>
          <cell r="C434" t="str">
            <v>Buffalo</v>
          </cell>
          <cell r="D434" t="str">
            <v>RetailStripmall</v>
          </cell>
          <cell r="E434" t="str">
            <v>Total</v>
          </cell>
          <cell r="F434">
            <v>2090.3200000000002</v>
          </cell>
          <cell r="J434">
            <v>1184.1500000000001</v>
          </cell>
          <cell r="K434">
            <v>124.4</v>
          </cell>
          <cell r="L434">
            <v>19.7636</v>
          </cell>
          <cell r="M434">
            <v>6.19</v>
          </cell>
          <cell r="N434">
            <v>4.3</v>
          </cell>
          <cell r="O434">
            <v>0</v>
          </cell>
          <cell r="R434">
            <v>0</v>
          </cell>
          <cell r="S434">
            <v>0</v>
          </cell>
          <cell r="T434">
            <v>0</v>
          </cell>
        </row>
        <row r="435">
          <cell r="A435" t="str">
            <v>RetailStripmallConditioned Total</v>
          </cell>
          <cell r="B435" t="str">
            <v>STD2004</v>
          </cell>
          <cell r="C435" t="str">
            <v>Buffalo</v>
          </cell>
          <cell r="D435" t="str">
            <v>RetailStripmall</v>
          </cell>
          <cell r="E435" t="str">
            <v>Conditioned Total</v>
          </cell>
          <cell r="F435">
            <v>2090.3200000000002</v>
          </cell>
          <cell r="J435">
            <v>1184.1500000000001</v>
          </cell>
          <cell r="K435">
            <v>124.4</v>
          </cell>
          <cell r="L435">
            <v>19.7636</v>
          </cell>
          <cell r="M435">
            <v>6.19</v>
          </cell>
          <cell r="N435">
            <v>4.3</v>
          </cell>
          <cell r="O435">
            <v>0</v>
          </cell>
          <cell r="R435">
            <v>0</v>
          </cell>
          <cell r="S435">
            <v>0</v>
          </cell>
          <cell r="T435">
            <v>0</v>
          </cell>
        </row>
        <row r="436">
          <cell r="A436" t="str">
            <v>RetailStripmallUnconditioned Total</v>
          </cell>
          <cell r="B436" t="str">
            <v>STD2004</v>
          </cell>
          <cell r="C436" t="str">
            <v>Buffalo</v>
          </cell>
          <cell r="D436" t="str">
            <v>RetailStripmall</v>
          </cell>
          <cell r="E436" t="str">
            <v>Unconditioned Total</v>
          </cell>
          <cell r="F436">
            <v>0</v>
          </cell>
          <cell r="J436">
            <v>0</v>
          </cell>
          <cell r="K436">
            <v>0</v>
          </cell>
          <cell r="O436">
            <v>0</v>
          </cell>
          <cell r="R436">
            <v>0</v>
          </cell>
          <cell r="S436">
            <v>0</v>
          </cell>
          <cell r="T436">
            <v>0</v>
          </cell>
        </row>
        <row r="437">
          <cell r="A437" t="str">
            <v>RetailStripmallNot Part of Total</v>
          </cell>
          <cell r="B437" t="str">
            <v>STD2004</v>
          </cell>
          <cell r="C437" t="str">
            <v>Buffalo</v>
          </cell>
          <cell r="D437" t="str">
            <v>RetailStripmall</v>
          </cell>
          <cell r="E437" t="str">
            <v>Not Part of Total</v>
          </cell>
          <cell r="F437">
            <v>0</v>
          </cell>
          <cell r="J437">
            <v>0</v>
          </cell>
          <cell r="K437">
            <v>0</v>
          </cell>
          <cell r="O437">
            <v>0</v>
          </cell>
          <cell r="R437">
            <v>0</v>
          </cell>
          <cell r="S437">
            <v>0</v>
          </cell>
          <cell r="T437">
            <v>0</v>
          </cell>
        </row>
        <row r="438">
          <cell r="A438" t="str">
            <v>SchoolPrimaryCORNER_CLASS_1_POD_1_ZN_1_FLR_1</v>
          </cell>
          <cell r="B438" t="str">
            <v>STD2004</v>
          </cell>
          <cell r="C438" t="str">
            <v>Buffalo</v>
          </cell>
          <cell r="D438" t="str">
            <v>SchoolPrimary</v>
          </cell>
          <cell r="E438" t="str">
            <v>CORNER_CLASS_1_POD_1_ZN_1_FLR_1</v>
          </cell>
          <cell r="F438">
            <v>99</v>
          </cell>
          <cell r="G438">
            <v>1</v>
          </cell>
          <cell r="H438" t="str">
            <v>Yes</v>
          </cell>
          <cell r="I438" t="str">
            <v>VAV_POD_1</v>
          </cell>
          <cell r="J438">
            <v>80</v>
          </cell>
          <cell r="K438">
            <v>28</v>
          </cell>
          <cell r="L438">
            <v>15.0695</v>
          </cell>
          <cell r="M438">
            <v>3.72</v>
          </cell>
          <cell r="N438">
            <v>15</v>
          </cell>
          <cell r="O438">
            <v>0</v>
          </cell>
          <cell r="P438">
            <v>0</v>
          </cell>
          <cell r="R438">
            <v>1.0252300508275299E-3</v>
          </cell>
          <cell r="S438">
            <v>0</v>
          </cell>
          <cell r="T438">
            <v>0</v>
          </cell>
        </row>
        <row r="439">
          <cell r="A439" t="str">
            <v>SchoolPrimaryMULT_CLASS_1_POD_1_ZN_1_FLR_1</v>
          </cell>
          <cell r="B439" t="str">
            <v>STD2004</v>
          </cell>
          <cell r="C439" t="str">
            <v>Buffalo</v>
          </cell>
          <cell r="D439" t="str">
            <v>SchoolPrimary</v>
          </cell>
          <cell r="E439" t="str">
            <v>MULT_CLASS_1_POD_1_ZN_1_FLR_1</v>
          </cell>
          <cell r="F439">
            <v>477</v>
          </cell>
          <cell r="G439">
            <v>1</v>
          </cell>
          <cell r="H439" t="str">
            <v>Yes</v>
          </cell>
          <cell r="I439" t="str">
            <v>VAV_POD_1</v>
          </cell>
          <cell r="J439">
            <v>212</v>
          </cell>
          <cell r="K439">
            <v>74.2</v>
          </cell>
          <cell r="L439">
            <v>15.0695</v>
          </cell>
          <cell r="M439">
            <v>3.72</v>
          </cell>
          <cell r="N439">
            <v>15</v>
          </cell>
          <cell r="O439">
            <v>0</v>
          </cell>
          <cell r="P439">
            <v>0</v>
          </cell>
          <cell r="R439">
            <v>1.0252300508275299E-3</v>
          </cell>
          <cell r="S439">
            <v>0</v>
          </cell>
          <cell r="T439">
            <v>0</v>
          </cell>
        </row>
        <row r="440">
          <cell r="A440" t="str">
            <v>SchoolPrimaryCORRIDOR_POD_1_ZN_1_FLR_1</v>
          </cell>
          <cell r="B440" t="str">
            <v>STD2004</v>
          </cell>
          <cell r="C440" t="str">
            <v>Buffalo</v>
          </cell>
          <cell r="D440" t="str">
            <v>SchoolPrimary</v>
          </cell>
          <cell r="E440" t="str">
            <v>CORRIDOR_POD_1_ZN_1_FLR_1</v>
          </cell>
          <cell r="F440">
            <v>192</v>
          </cell>
          <cell r="G440">
            <v>1</v>
          </cell>
          <cell r="H440" t="str">
            <v>Yes</v>
          </cell>
          <cell r="I440" t="str">
            <v>VAV_POD_1</v>
          </cell>
          <cell r="J440">
            <v>12</v>
          </cell>
          <cell r="K440">
            <v>4.2</v>
          </cell>
          <cell r="L440">
            <v>5.4809999999999999</v>
          </cell>
          <cell r="M440">
            <v>18.579999999999998</v>
          </cell>
          <cell r="N440">
            <v>4</v>
          </cell>
          <cell r="O440">
            <v>0</v>
          </cell>
          <cell r="P440">
            <v>0</v>
          </cell>
          <cell r="R440">
            <v>1.0252300508275299E-3</v>
          </cell>
          <cell r="S440">
            <v>0</v>
          </cell>
          <cell r="T440">
            <v>0</v>
          </cell>
        </row>
        <row r="441">
          <cell r="A441" t="str">
            <v>SchoolPrimaryCORNER_CLASS_2_POD_1_ZN_1_FLR_1</v>
          </cell>
          <cell r="B441" t="str">
            <v>STD2004</v>
          </cell>
          <cell r="C441" t="str">
            <v>Buffalo</v>
          </cell>
          <cell r="D441" t="str">
            <v>SchoolPrimary</v>
          </cell>
          <cell r="E441" t="str">
            <v>CORNER_CLASS_2_POD_1_ZN_1_FLR_1</v>
          </cell>
          <cell r="F441">
            <v>99</v>
          </cell>
          <cell r="G441">
            <v>1</v>
          </cell>
          <cell r="H441" t="str">
            <v>Yes</v>
          </cell>
          <cell r="I441" t="str">
            <v>VAV_POD_1</v>
          </cell>
          <cell r="J441">
            <v>80</v>
          </cell>
          <cell r="K441">
            <v>28</v>
          </cell>
          <cell r="L441">
            <v>15.0695</v>
          </cell>
          <cell r="M441">
            <v>3.72</v>
          </cell>
          <cell r="N441">
            <v>15</v>
          </cell>
          <cell r="O441">
            <v>0</v>
          </cell>
          <cell r="P441">
            <v>0</v>
          </cell>
          <cell r="R441">
            <v>1.0252300508275299E-3</v>
          </cell>
          <cell r="S441">
            <v>0</v>
          </cell>
          <cell r="T441">
            <v>0</v>
          </cell>
        </row>
        <row r="442">
          <cell r="A442" t="str">
            <v>SchoolPrimaryMULT_CLASS_2_POD_1_ZN_1_FLR_1</v>
          </cell>
          <cell r="B442" t="str">
            <v>STD2004</v>
          </cell>
          <cell r="C442" t="str">
            <v>Buffalo</v>
          </cell>
          <cell r="D442" t="str">
            <v>SchoolPrimary</v>
          </cell>
          <cell r="E442" t="str">
            <v>MULT_CLASS_2_POD_1_ZN_1_FLR_1</v>
          </cell>
          <cell r="F442">
            <v>477</v>
          </cell>
          <cell r="G442">
            <v>1</v>
          </cell>
          <cell r="H442" t="str">
            <v>Yes</v>
          </cell>
          <cell r="I442" t="str">
            <v>VAV_POD_1</v>
          </cell>
          <cell r="J442">
            <v>212</v>
          </cell>
          <cell r="K442">
            <v>74.2</v>
          </cell>
          <cell r="L442">
            <v>15.0695</v>
          </cell>
          <cell r="M442">
            <v>3.72</v>
          </cell>
          <cell r="N442">
            <v>15</v>
          </cell>
          <cell r="O442">
            <v>0</v>
          </cell>
          <cell r="P442">
            <v>0</v>
          </cell>
          <cell r="R442">
            <v>1.0252300508275299E-3</v>
          </cell>
          <cell r="S442">
            <v>0</v>
          </cell>
          <cell r="T442">
            <v>0</v>
          </cell>
        </row>
        <row r="443">
          <cell r="A443" t="str">
            <v>SchoolPrimaryCORNER_CLASS_1_POD_2_ZN_1_FLR_1</v>
          </cell>
          <cell r="B443" t="str">
            <v>STD2004</v>
          </cell>
          <cell r="C443" t="str">
            <v>Buffalo</v>
          </cell>
          <cell r="D443" t="str">
            <v>SchoolPrimary</v>
          </cell>
          <cell r="E443" t="str">
            <v>CORNER_CLASS_1_POD_2_ZN_1_FLR_1</v>
          </cell>
          <cell r="F443">
            <v>99</v>
          </cell>
          <cell r="G443">
            <v>1</v>
          </cell>
          <cell r="H443" t="str">
            <v>Yes</v>
          </cell>
          <cell r="I443" t="str">
            <v>VAV_POD_2</v>
          </cell>
          <cell r="J443">
            <v>80</v>
          </cell>
          <cell r="K443">
            <v>28</v>
          </cell>
          <cell r="L443">
            <v>15.0695</v>
          </cell>
          <cell r="M443">
            <v>3.72</v>
          </cell>
          <cell r="N443">
            <v>15</v>
          </cell>
          <cell r="O443">
            <v>0</v>
          </cell>
          <cell r="P443">
            <v>0</v>
          </cell>
          <cell r="R443">
            <v>1.0252300508275299E-3</v>
          </cell>
          <cell r="S443">
            <v>0</v>
          </cell>
          <cell r="T443">
            <v>0</v>
          </cell>
        </row>
        <row r="444">
          <cell r="A444" t="str">
            <v>SchoolPrimaryMULT_CLASS_1_POD_2_ZN_1_FLR_1</v>
          </cell>
          <cell r="B444" t="str">
            <v>STD2004</v>
          </cell>
          <cell r="C444" t="str">
            <v>Buffalo</v>
          </cell>
          <cell r="D444" t="str">
            <v>SchoolPrimary</v>
          </cell>
          <cell r="E444" t="str">
            <v>MULT_CLASS_1_POD_2_ZN_1_FLR_1</v>
          </cell>
          <cell r="F444">
            <v>477</v>
          </cell>
          <cell r="G444">
            <v>1</v>
          </cell>
          <cell r="H444" t="str">
            <v>Yes</v>
          </cell>
          <cell r="I444" t="str">
            <v>VAV_POD_2</v>
          </cell>
          <cell r="J444">
            <v>212</v>
          </cell>
          <cell r="K444">
            <v>74.2</v>
          </cell>
          <cell r="L444">
            <v>15.0695</v>
          </cell>
          <cell r="M444">
            <v>3.72</v>
          </cell>
          <cell r="N444">
            <v>15</v>
          </cell>
          <cell r="O444">
            <v>0</v>
          </cell>
          <cell r="P444">
            <v>0</v>
          </cell>
          <cell r="R444">
            <v>1.0252300508275299E-3</v>
          </cell>
          <cell r="S444">
            <v>0</v>
          </cell>
          <cell r="T444">
            <v>0</v>
          </cell>
        </row>
        <row r="445">
          <cell r="A445" t="str">
            <v>SchoolPrimaryCORRIDOR_POD_2_ZN_1_FLR_1</v>
          </cell>
          <cell r="B445" t="str">
            <v>STD2004</v>
          </cell>
          <cell r="C445" t="str">
            <v>Buffalo</v>
          </cell>
          <cell r="D445" t="str">
            <v>SchoolPrimary</v>
          </cell>
          <cell r="E445" t="str">
            <v>CORRIDOR_POD_2_ZN_1_FLR_1</v>
          </cell>
          <cell r="F445">
            <v>192</v>
          </cell>
          <cell r="G445">
            <v>1</v>
          </cell>
          <cell r="H445" t="str">
            <v>Yes</v>
          </cell>
          <cell r="I445" t="str">
            <v>VAV_POD_2</v>
          </cell>
          <cell r="J445">
            <v>12</v>
          </cell>
          <cell r="K445">
            <v>4.2</v>
          </cell>
          <cell r="L445">
            <v>5.4809999999999999</v>
          </cell>
          <cell r="M445">
            <v>18.579999999999998</v>
          </cell>
          <cell r="N445">
            <v>4</v>
          </cell>
          <cell r="O445">
            <v>0</v>
          </cell>
          <cell r="P445">
            <v>0</v>
          </cell>
          <cell r="R445">
            <v>1.0252300508275299E-3</v>
          </cell>
          <cell r="S445">
            <v>0</v>
          </cell>
          <cell r="T445">
            <v>0</v>
          </cell>
        </row>
        <row r="446">
          <cell r="A446" t="str">
            <v>SchoolPrimaryCORNER_CLASS_2_POD_2_ZN_1_FLR_1</v>
          </cell>
          <cell r="B446" t="str">
            <v>STD2004</v>
          </cell>
          <cell r="C446" t="str">
            <v>Buffalo</v>
          </cell>
          <cell r="D446" t="str">
            <v>SchoolPrimary</v>
          </cell>
          <cell r="E446" t="str">
            <v>CORNER_CLASS_2_POD_2_ZN_1_FLR_1</v>
          </cell>
          <cell r="F446">
            <v>99</v>
          </cell>
          <cell r="G446">
            <v>1</v>
          </cell>
          <cell r="H446" t="str">
            <v>Yes</v>
          </cell>
          <cell r="I446" t="str">
            <v>VAV_POD_2</v>
          </cell>
          <cell r="J446">
            <v>80</v>
          </cell>
          <cell r="K446">
            <v>28</v>
          </cell>
          <cell r="L446">
            <v>15.0695</v>
          </cell>
          <cell r="M446">
            <v>3.72</v>
          </cell>
          <cell r="N446">
            <v>15</v>
          </cell>
          <cell r="O446">
            <v>0</v>
          </cell>
          <cell r="P446">
            <v>0</v>
          </cell>
          <cell r="R446">
            <v>1.0252300508275299E-3</v>
          </cell>
          <cell r="S446">
            <v>0</v>
          </cell>
          <cell r="T446">
            <v>0</v>
          </cell>
        </row>
        <row r="447">
          <cell r="A447" t="str">
            <v>SchoolPrimaryMULT_CLASS_2_POD_2_ZN_1_FLR_1</v>
          </cell>
          <cell r="B447" t="str">
            <v>STD2004</v>
          </cell>
          <cell r="C447" t="str">
            <v>Buffalo</v>
          </cell>
          <cell r="D447" t="str">
            <v>SchoolPrimary</v>
          </cell>
          <cell r="E447" t="str">
            <v>MULT_CLASS_2_POD_2_ZN_1_FLR_1</v>
          </cell>
          <cell r="F447">
            <v>477</v>
          </cell>
          <cell r="G447">
            <v>1</v>
          </cell>
          <cell r="H447" t="str">
            <v>Yes</v>
          </cell>
          <cell r="I447" t="str">
            <v>VAV_POD_2</v>
          </cell>
          <cell r="J447">
            <v>212</v>
          </cell>
          <cell r="K447">
            <v>74.2</v>
          </cell>
          <cell r="L447">
            <v>15.0695</v>
          </cell>
          <cell r="M447">
            <v>3.72</v>
          </cell>
          <cell r="N447">
            <v>15</v>
          </cell>
          <cell r="O447">
            <v>0</v>
          </cell>
          <cell r="P447">
            <v>0</v>
          </cell>
          <cell r="R447">
            <v>1.0252300508275299E-3</v>
          </cell>
          <cell r="S447">
            <v>0</v>
          </cell>
          <cell r="T447">
            <v>0</v>
          </cell>
        </row>
        <row r="448">
          <cell r="A448" t="str">
            <v>SchoolPrimaryCORNER_CLASS_1_POD_3_ZN_1_FLR_1</v>
          </cell>
          <cell r="B448" t="str">
            <v>STD2004</v>
          </cell>
          <cell r="C448" t="str">
            <v>Buffalo</v>
          </cell>
          <cell r="D448" t="str">
            <v>SchoolPrimary</v>
          </cell>
          <cell r="E448" t="str">
            <v>CORNER_CLASS_1_POD_3_ZN_1_FLR_1</v>
          </cell>
          <cell r="F448">
            <v>99</v>
          </cell>
          <cell r="G448">
            <v>1</v>
          </cell>
          <cell r="H448" t="str">
            <v>Yes</v>
          </cell>
          <cell r="I448" t="str">
            <v>VAV_POD_3</v>
          </cell>
          <cell r="J448">
            <v>80</v>
          </cell>
          <cell r="K448">
            <v>28</v>
          </cell>
          <cell r="L448">
            <v>15.0695</v>
          </cell>
          <cell r="M448">
            <v>3.72</v>
          </cell>
          <cell r="N448">
            <v>15</v>
          </cell>
          <cell r="O448">
            <v>0</v>
          </cell>
          <cell r="P448">
            <v>0</v>
          </cell>
          <cell r="R448">
            <v>1.0252300508275299E-3</v>
          </cell>
          <cell r="S448">
            <v>0</v>
          </cell>
          <cell r="T448">
            <v>0</v>
          </cell>
        </row>
        <row r="449">
          <cell r="A449" t="str">
            <v>SchoolPrimaryMULT_CLASS_1_POD_3_ZN_1_FLR_1</v>
          </cell>
          <cell r="B449" t="str">
            <v>STD2004</v>
          </cell>
          <cell r="C449" t="str">
            <v>Buffalo</v>
          </cell>
          <cell r="D449" t="str">
            <v>SchoolPrimary</v>
          </cell>
          <cell r="E449" t="str">
            <v>MULT_CLASS_1_POD_3_ZN_1_FLR_1</v>
          </cell>
          <cell r="F449">
            <v>477</v>
          </cell>
          <cell r="G449">
            <v>1</v>
          </cell>
          <cell r="H449" t="str">
            <v>Yes</v>
          </cell>
          <cell r="I449" t="str">
            <v>VAV_POD_3</v>
          </cell>
          <cell r="J449">
            <v>212</v>
          </cell>
          <cell r="K449">
            <v>74.2</v>
          </cell>
          <cell r="L449">
            <v>15.0695</v>
          </cell>
          <cell r="M449">
            <v>3.72</v>
          </cell>
          <cell r="N449">
            <v>15</v>
          </cell>
          <cell r="O449">
            <v>0</v>
          </cell>
          <cell r="P449">
            <v>0</v>
          </cell>
          <cell r="R449">
            <v>1.0252300508275299E-3</v>
          </cell>
          <cell r="S449">
            <v>0</v>
          </cell>
          <cell r="T449">
            <v>0</v>
          </cell>
        </row>
        <row r="450">
          <cell r="A450" t="str">
            <v>SchoolPrimaryCORRIDOR_POD_3_ZN_1_FLR_1</v>
          </cell>
          <cell r="B450" t="str">
            <v>STD2004</v>
          </cell>
          <cell r="C450" t="str">
            <v>Buffalo</v>
          </cell>
          <cell r="D450" t="str">
            <v>SchoolPrimary</v>
          </cell>
          <cell r="E450" t="str">
            <v>CORRIDOR_POD_3_ZN_1_FLR_1</v>
          </cell>
          <cell r="F450">
            <v>192</v>
          </cell>
          <cell r="G450">
            <v>1</v>
          </cell>
          <cell r="H450" t="str">
            <v>Yes</v>
          </cell>
          <cell r="I450" t="str">
            <v>VAV_POD_3</v>
          </cell>
          <cell r="J450">
            <v>12</v>
          </cell>
          <cell r="K450">
            <v>4.2</v>
          </cell>
          <cell r="L450">
            <v>5.4809999999999999</v>
          </cell>
          <cell r="M450">
            <v>18.579999999999998</v>
          </cell>
          <cell r="N450">
            <v>4</v>
          </cell>
          <cell r="O450">
            <v>0</v>
          </cell>
          <cell r="P450">
            <v>0</v>
          </cell>
          <cell r="R450">
            <v>1.0252300508275299E-3</v>
          </cell>
          <cell r="S450">
            <v>0</v>
          </cell>
          <cell r="T450">
            <v>0</v>
          </cell>
        </row>
        <row r="451">
          <cell r="A451" t="str">
            <v>SchoolPrimaryCORNER_CLASS_2_POD_3_ZN_1_FLR_1</v>
          </cell>
          <cell r="B451" t="str">
            <v>STD2004</v>
          </cell>
          <cell r="C451" t="str">
            <v>Buffalo</v>
          </cell>
          <cell r="D451" t="str">
            <v>SchoolPrimary</v>
          </cell>
          <cell r="E451" t="str">
            <v>CORNER_CLASS_2_POD_3_ZN_1_FLR_1</v>
          </cell>
          <cell r="F451">
            <v>99</v>
          </cell>
          <cell r="G451">
            <v>1</v>
          </cell>
          <cell r="H451" t="str">
            <v>Yes</v>
          </cell>
          <cell r="I451" t="str">
            <v>VAV_POD_3</v>
          </cell>
          <cell r="J451">
            <v>80</v>
          </cell>
          <cell r="K451">
            <v>27.95</v>
          </cell>
          <cell r="L451">
            <v>15.0695</v>
          </cell>
          <cell r="M451">
            <v>3.72</v>
          </cell>
          <cell r="N451">
            <v>15</v>
          </cell>
          <cell r="O451">
            <v>0</v>
          </cell>
          <cell r="P451">
            <v>0</v>
          </cell>
          <cell r="R451">
            <v>1.0252300508275299E-3</v>
          </cell>
          <cell r="S451">
            <v>0</v>
          </cell>
          <cell r="T451">
            <v>0</v>
          </cell>
        </row>
        <row r="452">
          <cell r="A452" t="str">
            <v>SchoolPrimaryMULT_CLASS_2_POD_3_ZN_1_FLR_1</v>
          </cell>
          <cell r="B452" t="str">
            <v>STD2004</v>
          </cell>
          <cell r="C452" t="str">
            <v>Buffalo</v>
          </cell>
          <cell r="D452" t="str">
            <v>SchoolPrimary</v>
          </cell>
          <cell r="E452" t="str">
            <v>MULT_CLASS_2_POD_3_ZN_1_FLR_1</v>
          </cell>
          <cell r="F452">
            <v>315</v>
          </cell>
          <cell r="G452">
            <v>1</v>
          </cell>
          <cell r="H452" t="str">
            <v>Yes</v>
          </cell>
          <cell r="I452" t="str">
            <v>VAV_POD_3</v>
          </cell>
          <cell r="J452">
            <v>140</v>
          </cell>
          <cell r="K452">
            <v>49</v>
          </cell>
          <cell r="L452">
            <v>15.0695</v>
          </cell>
          <cell r="M452">
            <v>3.72</v>
          </cell>
          <cell r="N452">
            <v>15</v>
          </cell>
          <cell r="O452">
            <v>0</v>
          </cell>
          <cell r="P452">
            <v>0</v>
          </cell>
          <cell r="R452">
            <v>1.0252300508275299E-3</v>
          </cell>
          <cell r="S452">
            <v>0</v>
          </cell>
          <cell r="T452">
            <v>0</v>
          </cell>
        </row>
        <row r="453">
          <cell r="A453" t="str">
            <v>SchoolPrimaryCOMPUTER_CLASS_ZN_1_FLR_1</v>
          </cell>
          <cell r="B453" t="str">
            <v>STD2004</v>
          </cell>
          <cell r="C453" t="str">
            <v>Buffalo</v>
          </cell>
          <cell r="D453" t="str">
            <v>SchoolPrimary</v>
          </cell>
          <cell r="E453" t="str">
            <v>COMPUTER_CLASS_ZN_1_FLR_1</v>
          </cell>
          <cell r="F453">
            <v>162</v>
          </cell>
          <cell r="G453">
            <v>1</v>
          </cell>
          <cell r="H453" t="str">
            <v>Yes</v>
          </cell>
          <cell r="I453" t="str">
            <v>VAV_OTHER</v>
          </cell>
          <cell r="J453">
            <v>72</v>
          </cell>
          <cell r="K453">
            <v>25.2</v>
          </cell>
          <cell r="L453">
            <v>15.0695</v>
          </cell>
          <cell r="M453">
            <v>3.72</v>
          </cell>
          <cell r="N453">
            <v>20</v>
          </cell>
          <cell r="O453">
            <v>0</v>
          </cell>
          <cell r="P453">
            <v>0</v>
          </cell>
          <cell r="R453">
            <v>1.0252300508275299E-3</v>
          </cell>
          <cell r="S453">
            <v>0</v>
          </cell>
          <cell r="T453">
            <v>0</v>
          </cell>
        </row>
        <row r="454">
          <cell r="A454" t="str">
            <v>SchoolPrimaryMAIN_CORRIDOR_ZN_1_FLR_1</v>
          </cell>
          <cell r="B454" t="str">
            <v>STD2004</v>
          </cell>
          <cell r="C454" t="str">
            <v>Buffalo</v>
          </cell>
          <cell r="D454" t="str">
            <v>SchoolPrimary</v>
          </cell>
          <cell r="E454" t="str">
            <v>MAIN_CORRIDOR_ZN_1_FLR_1</v>
          </cell>
          <cell r="F454">
            <v>546</v>
          </cell>
          <cell r="G454">
            <v>1</v>
          </cell>
          <cell r="H454" t="str">
            <v>Yes</v>
          </cell>
          <cell r="I454" t="str">
            <v>VAV_OTHER</v>
          </cell>
          <cell r="J454">
            <v>36</v>
          </cell>
          <cell r="K454">
            <v>12.6</v>
          </cell>
          <cell r="L454">
            <v>5.4809999999999999</v>
          </cell>
          <cell r="M454">
            <v>18.579999999999998</v>
          </cell>
          <cell r="N454">
            <v>4</v>
          </cell>
          <cell r="O454">
            <v>0</v>
          </cell>
          <cell r="P454">
            <v>0</v>
          </cell>
          <cell r="R454">
            <v>1.0252300508275299E-3</v>
          </cell>
          <cell r="S454">
            <v>0</v>
          </cell>
          <cell r="T454">
            <v>0</v>
          </cell>
        </row>
        <row r="455">
          <cell r="A455" t="str">
            <v>SchoolPrimaryLOBBY_ZN_1_FLR_1</v>
          </cell>
          <cell r="B455" t="str">
            <v>STD2004</v>
          </cell>
          <cell r="C455" t="str">
            <v>Buffalo</v>
          </cell>
          <cell r="D455" t="str">
            <v>SchoolPrimary</v>
          </cell>
          <cell r="E455" t="str">
            <v>LOBBY_ZN_1_FLR_1</v>
          </cell>
          <cell r="F455">
            <v>171</v>
          </cell>
          <cell r="G455">
            <v>1</v>
          </cell>
          <cell r="H455" t="str">
            <v>Yes</v>
          </cell>
          <cell r="I455" t="str">
            <v>VAV_OTHER</v>
          </cell>
          <cell r="J455">
            <v>76</v>
          </cell>
          <cell r="K455">
            <v>26.6</v>
          </cell>
          <cell r="L455">
            <v>13.9931</v>
          </cell>
          <cell r="M455">
            <v>9.2899999999999991</v>
          </cell>
          <cell r="N455">
            <v>4</v>
          </cell>
          <cell r="O455">
            <v>0</v>
          </cell>
          <cell r="P455">
            <v>0</v>
          </cell>
          <cell r="R455">
            <v>1.0252300508275299E-3</v>
          </cell>
          <cell r="S455">
            <v>0</v>
          </cell>
          <cell r="T455">
            <v>4.3442721349999998</v>
          </cell>
        </row>
        <row r="456">
          <cell r="A456" t="str">
            <v>SchoolPrimaryMECH_ZN_1_FLR_1</v>
          </cell>
          <cell r="B456" t="str">
            <v>STD2004</v>
          </cell>
          <cell r="C456" t="str">
            <v>Buffalo</v>
          </cell>
          <cell r="D456" t="str">
            <v>SchoolPrimary</v>
          </cell>
          <cell r="E456" t="str">
            <v>MECH_ZN_1_FLR_1</v>
          </cell>
          <cell r="F456">
            <v>252</v>
          </cell>
          <cell r="G456">
            <v>1</v>
          </cell>
          <cell r="H456" t="str">
            <v>Yes</v>
          </cell>
          <cell r="I456" t="str">
            <v>VAV_OTHER</v>
          </cell>
          <cell r="J456">
            <v>0</v>
          </cell>
          <cell r="K456">
            <v>0</v>
          </cell>
          <cell r="L456">
            <v>16.145800000000001</v>
          </cell>
          <cell r="M456">
            <v>61.93</v>
          </cell>
          <cell r="N456">
            <v>10</v>
          </cell>
          <cell r="O456">
            <v>0</v>
          </cell>
          <cell r="P456">
            <v>0</v>
          </cell>
          <cell r="R456">
            <v>1.0252300508275299E-3</v>
          </cell>
          <cell r="S456">
            <v>0</v>
          </cell>
          <cell r="T456">
            <v>0</v>
          </cell>
        </row>
        <row r="457">
          <cell r="A457" t="str">
            <v>SchoolPrimaryBATH_ZN_1_FLR_1</v>
          </cell>
          <cell r="B457" t="str">
            <v>STD2004</v>
          </cell>
          <cell r="C457" t="str">
            <v>Buffalo</v>
          </cell>
          <cell r="D457" t="str">
            <v>SchoolPrimary</v>
          </cell>
          <cell r="E457" t="str">
            <v>BATH_ZN_1_FLR_1</v>
          </cell>
          <cell r="F457">
            <v>190</v>
          </cell>
          <cell r="G457">
            <v>1</v>
          </cell>
          <cell r="H457" t="str">
            <v>Yes</v>
          </cell>
          <cell r="I457" t="str">
            <v>VAV_OTHER</v>
          </cell>
          <cell r="J457">
            <v>40</v>
          </cell>
          <cell r="K457">
            <v>14</v>
          </cell>
          <cell r="L457">
            <v>9.6875</v>
          </cell>
          <cell r="M457">
            <v>18.579999999999998</v>
          </cell>
          <cell r="N457">
            <v>4</v>
          </cell>
          <cell r="O457">
            <v>0</v>
          </cell>
          <cell r="P457">
            <v>0</v>
          </cell>
          <cell r="Q457">
            <v>0.28000000000000003</v>
          </cell>
          <cell r="R457">
            <v>1.0252300508275299E-3</v>
          </cell>
          <cell r="S457">
            <v>0</v>
          </cell>
          <cell r="T457">
            <v>0</v>
          </cell>
        </row>
        <row r="458">
          <cell r="A458" t="str">
            <v>SchoolPrimaryOFFICES_ZN_1_FLR_1</v>
          </cell>
          <cell r="B458" t="str">
            <v>STD2004</v>
          </cell>
          <cell r="C458" t="str">
            <v>Buffalo</v>
          </cell>
          <cell r="D458" t="str">
            <v>SchoolPrimary</v>
          </cell>
          <cell r="E458" t="str">
            <v>OFFICES_ZN_1_FLR_1</v>
          </cell>
          <cell r="F458">
            <v>441</v>
          </cell>
          <cell r="G458">
            <v>1</v>
          </cell>
          <cell r="H458" t="str">
            <v>Yes</v>
          </cell>
          <cell r="I458" t="str">
            <v>VAV_OTHER</v>
          </cell>
          <cell r="J458">
            <v>168</v>
          </cell>
          <cell r="K458">
            <v>58.8</v>
          </cell>
          <cell r="L458">
            <v>11.840299999999999</v>
          </cell>
          <cell r="M458">
            <v>18.579999999999998</v>
          </cell>
          <cell r="N458">
            <v>10.8</v>
          </cell>
          <cell r="O458">
            <v>0</v>
          </cell>
          <cell r="P458">
            <v>0</v>
          </cell>
          <cell r="R458">
            <v>1.0252300508275299E-3</v>
          </cell>
          <cell r="S458">
            <v>0</v>
          </cell>
          <cell r="T458">
            <v>0</v>
          </cell>
        </row>
        <row r="459">
          <cell r="A459" t="str">
            <v>SchoolPrimaryGYM_ZN_1_FLR_1</v>
          </cell>
          <cell r="B459" t="str">
            <v>STD2004</v>
          </cell>
          <cell r="C459" t="str">
            <v>Buffalo</v>
          </cell>
          <cell r="D459" t="str">
            <v>SchoolPrimary</v>
          </cell>
          <cell r="E459" t="str">
            <v>GYM_ZN_1_FLR_1</v>
          </cell>
          <cell r="F459">
            <v>357</v>
          </cell>
          <cell r="G459">
            <v>1</v>
          </cell>
          <cell r="H459" t="str">
            <v>Yes</v>
          </cell>
          <cell r="I459" t="str">
            <v>PSZ-AC_2:5</v>
          </cell>
          <cell r="J459">
            <v>68</v>
          </cell>
          <cell r="K459">
            <v>23.8</v>
          </cell>
          <cell r="L459">
            <v>13.347200000000001</v>
          </cell>
          <cell r="M459">
            <v>3.1</v>
          </cell>
          <cell r="N459">
            <v>5</v>
          </cell>
          <cell r="O459">
            <v>0</v>
          </cell>
          <cell r="P459">
            <v>1.0881000000000001</v>
          </cell>
          <cell r="Q459">
            <v>0</v>
          </cell>
          <cell r="R459">
            <v>1.0252300508275299E-3</v>
          </cell>
          <cell r="S459">
            <v>0</v>
          </cell>
          <cell r="T459">
            <v>0</v>
          </cell>
        </row>
        <row r="460">
          <cell r="A460" t="str">
            <v>SchoolPrimaryKITCHEN_ZN_1_FLR_1</v>
          </cell>
          <cell r="B460" t="str">
            <v>STD2004</v>
          </cell>
          <cell r="C460" t="str">
            <v>Buffalo</v>
          </cell>
          <cell r="D460" t="str">
            <v>SchoolPrimary</v>
          </cell>
          <cell r="E460" t="str">
            <v>KITCHEN_ZN_1_FLR_1</v>
          </cell>
          <cell r="F460">
            <v>168</v>
          </cell>
          <cell r="G460">
            <v>1</v>
          </cell>
          <cell r="H460" t="str">
            <v>Yes</v>
          </cell>
          <cell r="I460" t="str">
            <v>PSZ-AC_1:6</v>
          </cell>
          <cell r="J460">
            <v>32</v>
          </cell>
          <cell r="K460">
            <v>11.2</v>
          </cell>
          <cell r="L460">
            <v>12.916700000000001</v>
          </cell>
          <cell r="M460">
            <v>6.22</v>
          </cell>
          <cell r="N460">
            <v>1632.7612999999999</v>
          </cell>
          <cell r="O460">
            <v>240424.8</v>
          </cell>
          <cell r="P460">
            <v>0.44600000000000001</v>
          </cell>
          <cell r="Q460">
            <v>2.36</v>
          </cell>
          <cell r="R460">
            <v>1.0252300508275299E-3</v>
          </cell>
          <cell r="S460">
            <v>0</v>
          </cell>
          <cell r="T460">
            <v>0</v>
          </cell>
        </row>
        <row r="461">
          <cell r="A461" t="str">
            <v>SchoolPrimaryCAFETERIA_ZN_1_FLR_1</v>
          </cell>
          <cell r="B461" t="str">
            <v>STD2004</v>
          </cell>
          <cell r="C461" t="str">
            <v>Buffalo</v>
          </cell>
          <cell r="D461" t="str">
            <v>SchoolPrimary</v>
          </cell>
          <cell r="E461" t="str">
            <v>CAFETERIA_ZN_1_FLR_1</v>
          </cell>
          <cell r="F461">
            <v>315</v>
          </cell>
          <cell r="G461">
            <v>1</v>
          </cell>
          <cell r="H461" t="str">
            <v>Yes</v>
          </cell>
          <cell r="I461" t="str">
            <v>PSZ-AC_2:7</v>
          </cell>
          <cell r="J461">
            <v>144</v>
          </cell>
          <cell r="K461">
            <v>50.4</v>
          </cell>
          <cell r="L461">
            <v>9.6875</v>
          </cell>
          <cell r="M461">
            <v>0.93</v>
          </cell>
          <cell r="N461">
            <v>25.39</v>
          </cell>
          <cell r="O461">
            <v>0</v>
          </cell>
          <cell r="P461">
            <v>3.2004000000000001</v>
          </cell>
          <cell r="Q461">
            <v>0</v>
          </cell>
          <cell r="R461">
            <v>1.0252300508275299E-3</v>
          </cell>
          <cell r="S461">
            <v>0</v>
          </cell>
          <cell r="T461">
            <v>0</v>
          </cell>
        </row>
        <row r="462">
          <cell r="A462" t="str">
            <v>SchoolPrimaryLIBRARY_MEDIA_CENTER_ZN_1_FLR_1</v>
          </cell>
          <cell r="B462" t="str">
            <v>STD2004</v>
          </cell>
          <cell r="C462" t="str">
            <v>Buffalo</v>
          </cell>
          <cell r="D462" t="str">
            <v>SchoolPrimary</v>
          </cell>
          <cell r="E462" t="str">
            <v>LIBRARY_MEDIA_CENTER_ZN_1_FLR_1</v>
          </cell>
          <cell r="F462">
            <v>399</v>
          </cell>
          <cell r="G462">
            <v>1</v>
          </cell>
          <cell r="H462" t="str">
            <v>Yes</v>
          </cell>
          <cell r="I462" t="str">
            <v>VAV_OTHER</v>
          </cell>
          <cell r="J462">
            <v>160</v>
          </cell>
          <cell r="K462">
            <v>56</v>
          </cell>
          <cell r="L462">
            <v>16.684000000000001</v>
          </cell>
          <cell r="M462">
            <v>9.2899999999999991</v>
          </cell>
          <cell r="N462">
            <v>15</v>
          </cell>
          <cell r="O462">
            <v>0</v>
          </cell>
          <cell r="P462">
            <v>0</v>
          </cell>
          <cell r="Q462">
            <v>0</v>
          </cell>
          <cell r="R462">
            <v>1.0252300508275299E-3</v>
          </cell>
          <cell r="S462">
            <v>0</v>
          </cell>
          <cell r="T462">
            <v>0</v>
          </cell>
        </row>
        <row r="463">
          <cell r="A463" t="str">
            <v>SchoolPrimaryTotal</v>
          </cell>
          <cell r="B463" t="str">
            <v>STD2004</v>
          </cell>
          <cell r="C463" t="str">
            <v>Buffalo</v>
          </cell>
          <cell r="D463" t="str">
            <v>SchoolPrimary</v>
          </cell>
          <cell r="E463" t="str">
            <v>Total</v>
          </cell>
          <cell r="F463">
            <v>6871</v>
          </cell>
          <cell r="J463">
            <v>2512</v>
          </cell>
          <cell r="K463">
            <v>879.14</v>
          </cell>
          <cell r="L463">
            <v>12.8652</v>
          </cell>
          <cell r="M463">
            <v>4.37</v>
          </cell>
          <cell r="N463">
            <v>51.802700000000002</v>
          </cell>
          <cell r="O463">
            <v>0</v>
          </cell>
          <cell r="R463">
            <v>0</v>
          </cell>
          <cell r="S463">
            <v>0</v>
          </cell>
          <cell r="T463">
            <v>0</v>
          </cell>
        </row>
        <row r="464">
          <cell r="A464" t="str">
            <v>SchoolPrimaryConditioned Total</v>
          </cell>
          <cell r="B464" t="str">
            <v>STD2004</v>
          </cell>
          <cell r="C464" t="str">
            <v>Buffalo</v>
          </cell>
          <cell r="D464" t="str">
            <v>SchoolPrimary</v>
          </cell>
          <cell r="E464" t="str">
            <v>Conditioned Total</v>
          </cell>
          <cell r="F464">
            <v>6871</v>
          </cell>
          <cell r="J464">
            <v>2512</v>
          </cell>
          <cell r="K464">
            <v>879.14</v>
          </cell>
          <cell r="L464">
            <v>12.8652</v>
          </cell>
          <cell r="M464">
            <v>4.37</v>
          </cell>
          <cell r="N464">
            <v>51.802700000000002</v>
          </cell>
          <cell r="O464">
            <v>0</v>
          </cell>
          <cell r="R464">
            <v>0</v>
          </cell>
          <cell r="S464">
            <v>0</v>
          </cell>
          <cell r="T464">
            <v>0</v>
          </cell>
        </row>
        <row r="465">
          <cell r="A465" t="str">
            <v>SchoolPrimaryUnconditioned Total</v>
          </cell>
          <cell r="B465" t="str">
            <v>STD2004</v>
          </cell>
          <cell r="C465" t="str">
            <v>Buffalo</v>
          </cell>
          <cell r="D465" t="str">
            <v>SchoolPrimary</v>
          </cell>
          <cell r="E465" t="str">
            <v>Unconditioned Total</v>
          </cell>
          <cell r="F465">
            <v>0</v>
          </cell>
          <cell r="J465">
            <v>0</v>
          </cell>
          <cell r="K465">
            <v>0</v>
          </cell>
          <cell r="O465">
            <v>0</v>
          </cell>
          <cell r="R465">
            <v>0</v>
          </cell>
          <cell r="S465">
            <v>0</v>
          </cell>
          <cell r="T465">
            <v>0</v>
          </cell>
        </row>
        <row r="466">
          <cell r="A466" t="str">
            <v>SchoolPrimaryNot Part of Total</v>
          </cell>
          <cell r="B466" t="str">
            <v>STD2004</v>
          </cell>
          <cell r="C466" t="str">
            <v>Buffalo</v>
          </cell>
          <cell r="D466" t="str">
            <v>SchoolPrimary</v>
          </cell>
          <cell r="E466" t="str">
            <v>Not Part of Total</v>
          </cell>
          <cell r="F466">
            <v>0</v>
          </cell>
          <cell r="J466">
            <v>0</v>
          </cell>
          <cell r="K466">
            <v>0</v>
          </cell>
          <cell r="O466">
            <v>0</v>
          </cell>
          <cell r="R466">
            <v>0</v>
          </cell>
          <cell r="S466">
            <v>0</v>
          </cell>
          <cell r="T466">
            <v>0</v>
          </cell>
        </row>
        <row r="467">
          <cell r="A467" t="str">
            <v>SchoolSecondaryCORNER_CLASS_1_POD_1_ZN_1_FLR_1</v>
          </cell>
          <cell r="B467" t="str">
            <v>STD2004</v>
          </cell>
          <cell r="C467" t="str">
            <v>Buffalo</v>
          </cell>
          <cell r="D467" t="str">
            <v>SchoolSecondary</v>
          </cell>
          <cell r="E467" t="str">
            <v>CORNER_CLASS_1_POD_1_ZN_1_FLR_1</v>
          </cell>
          <cell r="F467">
            <v>99</v>
          </cell>
          <cell r="G467">
            <v>1</v>
          </cell>
          <cell r="H467" t="str">
            <v>Yes</v>
          </cell>
          <cell r="I467" t="str">
            <v>VAV_POD_1</v>
          </cell>
          <cell r="J467">
            <v>80</v>
          </cell>
          <cell r="K467">
            <v>28</v>
          </cell>
          <cell r="L467">
            <v>15.0695</v>
          </cell>
          <cell r="M467">
            <v>2.65</v>
          </cell>
          <cell r="N467">
            <v>10</v>
          </cell>
          <cell r="O467">
            <v>0</v>
          </cell>
          <cell r="P467">
            <v>0</v>
          </cell>
          <cell r="R467">
            <v>1.0252300508275299E-3</v>
          </cell>
          <cell r="S467">
            <v>0</v>
          </cell>
          <cell r="T467">
            <v>0</v>
          </cell>
        </row>
        <row r="468">
          <cell r="A468" t="str">
            <v>SchoolSecondaryCORNER_CLASS_1_POD_1_ZN_1_FLR_2</v>
          </cell>
          <cell r="B468" t="str">
            <v>STD2004</v>
          </cell>
          <cell r="C468" t="str">
            <v>Buffalo</v>
          </cell>
          <cell r="D468" t="str">
            <v>SchoolSecondary</v>
          </cell>
          <cell r="E468" t="str">
            <v>CORNER_CLASS_1_POD_1_ZN_1_FLR_2</v>
          </cell>
          <cell r="F468">
            <v>99</v>
          </cell>
          <cell r="G468">
            <v>1</v>
          </cell>
          <cell r="H468" t="str">
            <v>Yes</v>
          </cell>
          <cell r="I468" t="str">
            <v>VAV_POD_1</v>
          </cell>
          <cell r="J468">
            <v>80</v>
          </cell>
          <cell r="K468">
            <v>28</v>
          </cell>
          <cell r="L468">
            <v>15.0695</v>
          </cell>
          <cell r="M468">
            <v>2.65</v>
          </cell>
          <cell r="N468">
            <v>10</v>
          </cell>
          <cell r="O468">
            <v>0</v>
          </cell>
          <cell r="P468">
            <v>0</v>
          </cell>
          <cell r="R468">
            <v>1.0252300508275299E-3</v>
          </cell>
          <cell r="S468">
            <v>0</v>
          </cell>
          <cell r="T468">
            <v>0</v>
          </cell>
        </row>
        <row r="469">
          <cell r="A469" t="str">
            <v>SchoolSecondaryMULT_CLASS_1_POD_1_ZN_1_FLR_1</v>
          </cell>
          <cell r="B469" t="str">
            <v>STD2004</v>
          </cell>
          <cell r="C469" t="str">
            <v>Buffalo</v>
          </cell>
          <cell r="D469" t="str">
            <v>SchoolSecondary</v>
          </cell>
          <cell r="E469" t="str">
            <v>MULT_CLASS_1_POD_1_ZN_1_FLR_1</v>
          </cell>
          <cell r="F469">
            <v>477</v>
          </cell>
          <cell r="G469">
            <v>1</v>
          </cell>
          <cell r="H469" t="str">
            <v>Yes</v>
          </cell>
          <cell r="I469" t="str">
            <v>VAV_POD_1</v>
          </cell>
          <cell r="J469">
            <v>212</v>
          </cell>
          <cell r="K469">
            <v>74.2</v>
          </cell>
          <cell r="L469">
            <v>15.0695</v>
          </cell>
          <cell r="M469">
            <v>2.65</v>
          </cell>
          <cell r="N469">
            <v>10</v>
          </cell>
          <cell r="O469">
            <v>0</v>
          </cell>
          <cell r="P469">
            <v>0</v>
          </cell>
          <cell r="R469">
            <v>1.0252300508275299E-3</v>
          </cell>
          <cell r="S469">
            <v>0</v>
          </cell>
          <cell r="T469">
            <v>0</v>
          </cell>
        </row>
        <row r="470">
          <cell r="A470" t="str">
            <v>SchoolSecondaryMULT_CLASS_1_POD_1_ZN_1_FLR_2</v>
          </cell>
          <cell r="B470" t="str">
            <v>STD2004</v>
          </cell>
          <cell r="C470" t="str">
            <v>Buffalo</v>
          </cell>
          <cell r="D470" t="str">
            <v>SchoolSecondary</v>
          </cell>
          <cell r="E470" t="str">
            <v>MULT_CLASS_1_POD_1_ZN_1_FLR_2</v>
          </cell>
          <cell r="F470">
            <v>477</v>
          </cell>
          <cell r="G470">
            <v>1</v>
          </cell>
          <cell r="H470" t="str">
            <v>Yes</v>
          </cell>
          <cell r="I470" t="str">
            <v>VAV_POD_1</v>
          </cell>
          <cell r="J470">
            <v>212</v>
          </cell>
          <cell r="K470">
            <v>74.2</v>
          </cell>
          <cell r="L470">
            <v>15.0695</v>
          </cell>
          <cell r="M470">
            <v>2.65</v>
          </cell>
          <cell r="N470">
            <v>10</v>
          </cell>
          <cell r="O470">
            <v>0</v>
          </cell>
          <cell r="P470">
            <v>0</v>
          </cell>
          <cell r="R470">
            <v>1.0252300508275299E-3</v>
          </cell>
          <cell r="S470">
            <v>0</v>
          </cell>
          <cell r="T470">
            <v>0</v>
          </cell>
        </row>
        <row r="471">
          <cell r="A471" t="str">
            <v>SchoolSecondaryCORRIDOR_POD_1_ZN_1_FLR_1</v>
          </cell>
          <cell r="B471" t="str">
            <v>STD2004</v>
          </cell>
          <cell r="C471" t="str">
            <v>Buffalo</v>
          </cell>
          <cell r="D471" t="str">
            <v>SchoolSecondary</v>
          </cell>
          <cell r="E471" t="str">
            <v>CORRIDOR_POD_1_ZN_1_FLR_1</v>
          </cell>
          <cell r="F471">
            <v>320</v>
          </cell>
          <cell r="G471">
            <v>1</v>
          </cell>
          <cell r="H471" t="str">
            <v>Yes</v>
          </cell>
          <cell r="I471" t="str">
            <v>VAV_POD_1</v>
          </cell>
          <cell r="J471">
            <v>20</v>
          </cell>
          <cell r="K471">
            <v>7</v>
          </cell>
          <cell r="L471">
            <v>5.5178000000000003</v>
          </cell>
          <cell r="M471">
            <v>18.579999999999998</v>
          </cell>
          <cell r="N471">
            <v>4</v>
          </cell>
          <cell r="O471">
            <v>0</v>
          </cell>
          <cell r="P471">
            <v>0</v>
          </cell>
          <cell r="R471">
            <v>1.0252300508275299E-3</v>
          </cell>
          <cell r="S471">
            <v>0</v>
          </cell>
          <cell r="T471">
            <v>0</v>
          </cell>
        </row>
        <row r="472">
          <cell r="A472" t="str">
            <v>SchoolSecondaryCORRIDOR_POD_1_ZN_1_FLR_2</v>
          </cell>
          <cell r="B472" t="str">
            <v>STD2004</v>
          </cell>
          <cell r="C472" t="str">
            <v>Buffalo</v>
          </cell>
          <cell r="D472" t="str">
            <v>SchoolSecondary</v>
          </cell>
          <cell r="E472" t="str">
            <v>CORRIDOR_POD_1_ZN_1_FLR_2</v>
          </cell>
          <cell r="F472">
            <v>320</v>
          </cell>
          <cell r="G472">
            <v>1</v>
          </cell>
          <cell r="H472" t="str">
            <v>Yes</v>
          </cell>
          <cell r="I472" t="str">
            <v>VAV_POD_1</v>
          </cell>
          <cell r="J472">
            <v>20</v>
          </cell>
          <cell r="K472">
            <v>7</v>
          </cell>
          <cell r="L472">
            <v>5.5178000000000003</v>
          </cell>
          <cell r="M472">
            <v>18.579999999999998</v>
          </cell>
          <cell r="N472">
            <v>4</v>
          </cell>
          <cell r="O472">
            <v>0</v>
          </cell>
          <cell r="P472">
            <v>0</v>
          </cell>
          <cell r="R472">
            <v>1.0252300508275299E-3</v>
          </cell>
          <cell r="S472">
            <v>0</v>
          </cell>
          <cell r="T472">
            <v>0</v>
          </cell>
        </row>
        <row r="473">
          <cell r="A473" t="str">
            <v>SchoolSecondaryCORNER_CLASS_2_POD_1_ZN_1_FLR_1</v>
          </cell>
          <cell r="B473" t="str">
            <v>STD2004</v>
          </cell>
          <cell r="C473" t="str">
            <v>Buffalo</v>
          </cell>
          <cell r="D473" t="str">
            <v>SchoolSecondary</v>
          </cell>
          <cell r="E473" t="str">
            <v>CORNER_CLASS_2_POD_1_ZN_1_FLR_1</v>
          </cell>
          <cell r="F473">
            <v>99</v>
          </cell>
          <cell r="G473">
            <v>1</v>
          </cell>
          <cell r="H473" t="str">
            <v>Yes</v>
          </cell>
          <cell r="I473" t="str">
            <v>VAV_POD_1</v>
          </cell>
          <cell r="J473">
            <v>80</v>
          </cell>
          <cell r="K473">
            <v>28</v>
          </cell>
          <cell r="L473">
            <v>15.0695</v>
          </cell>
          <cell r="M473">
            <v>2.65</v>
          </cell>
          <cell r="N473">
            <v>10</v>
          </cell>
          <cell r="O473">
            <v>0</v>
          </cell>
          <cell r="P473">
            <v>0</v>
          </cell>
          <cell r="R473">
            <v>1.0252300508275299E-3</v>
          </cell>
          <cell r="S473">
            <v>0</v>
          </cell>
          <cell r="T473">
            <v>0</v>
          </cell>
        </row>
        <row r="474">
          <cell r="A474" t="str">
            <v>SchoolSecondaryCORNER_CLASS_2_POD_1_ZN_1_FLR_2</v>
          </cell>
          <cell r="B474" t="str">
            <v>STD2004</v>
          </cell>
          <cell r="C474" t="str">
            <v>Buffalo</v>
          </cell>
          <cell r="D474" t="str">
            <v>SchoolSecondary</v>
          </cell>
          <cell r="E474" t="str">
            <v>CORNER_CLASS_2_POD_1_ZN_1_FLR_2</v>
          </cell>
          <cell r="F474">
            <v>99</v>
          </cell>
          <cell r="G474">
            <v>1</v>
          </cell>
          <cell r="H474" t="str">
            <v>Yes</v>
          </cell>
          <cell r="I474" t="str">
            <v>VAV_POD_1</v>
          </cell>
          <cell r="J474">
            <v>80</v>
          </cell>
          <cell r="K474">
            <v>28</v>
          </cell>
          <cell r="L474">
            <v>15.0695</v>
          </cell>
          <cell r="M474">
            <v>2.65</v>
          </cell>
          <cell r="N474">
            <v>10</v>
          </cell>
          <cell r="O474">
            <v>0</v>
          </cell>
          <cell r="P474">
            <v>0</v>
          </cell>
          <cell r="R474">
            <v>1.0252300508275299E-3</v>
          </cell>
          <cell r="S474">
            <v>0</v>
          </cell>
          <cell r="T474">
            <v>0</v>
          </cell>
        </row>
        <row r="475">
          <cell r="A475" t="str">
            <v>SchoolSecondaryMULT_CLASS_2_POD_1_ZN_1_FLR_1</v>
          </cell>
          <cell r="B475" t="str">
            <v>STD2004</v>
          </cell>
          <cell r="C475" t="str">
            <v>Buffalo</v>
          </cell>
          <cell r="D475" t="str">
            <v>SchoolSecondary</v>
          </cell>
          <cell r="E475" t="str">
            <v>MULT_CLASS_2_POD_1_ZN_1_FLR_1</v>
          </cell>
          <cell r="F475">
            <v>477</v>
          </cell>
          <cell r="G475">
            <v>1</v>
          </cell>
          <cell r="H475" t="str">
            <v>Yes</v>
          </cell>
          <cell r="I475" t="str">
            <v>VAV_POD_1</v>
          </cell>
          <cell r="J475">
            <v>212</v>
          </cell>
          <cell r="K475">
            <v>74.2</v>
          </cell>
          <cell r="L475">
            <v>15.0695</v>
          </cell>
          <cell r="M475">
            <v>2.65</v>
          </cell>
          <cell r="N475">
            <v>10</v>
          </cell>
          <cell r="O475">
            <v>0</v>
          </cell>
          <cell r="P475">
            <v>0</v>
          </cell>
          <cell r="R475">
            <v>1.0252300508275299E-3</v>
          </cell>
          <cell r="S475">
            <v>0</v>
          </cell>
          <cell r="T475">
            <v>0</v>
          </cell>
        </row>
        <row r="476">
          <cell r="A476" t="str">
            <v>SchoolSecondaryMULT_CLASS_2_POD_1_ZN_1_FLR_2</v>
          </cell>
          <cell r="B476" t="str">
            <v>STD2004</v>
          </cell>
          <cell r="C476" t="str">
            <v>Buffalo</v>
          </cell>
          <cell r="D476" t="str">
            <v>SchoolSecondary</v>
          </cell>
          <cell r="E476" t="str">
            <v>MULT_CLASS_2_POD_1_ZN_1_FLR_2</v>
          </cell>
          <cell r="F476">
            <v>477</v>
          </cell>
          <cell r="G476">
            <v>1</v>
          </cell>
          <cell r="H476" t="str">
            <v>Yes</v>
          </cell>
          <cell r="I476" t="str">
            <v>VAV_POD_1</v>
          </cell>
          <cell r="J476">
            <v>212</v>
          </cell>
          <cell r="K476">
            <v>74.2</v>
          </cell>
          <cell r="L476">
            <v>15.0695</v>
          </cell>
          <cell r="M476">
            <v>2.65</v>
          </cell>
          <cell r="N476">
            <v>10</v>
          </cell>
          <cell r="O476">
            <v>0</v>
          </cell>
          <cell r="P476">
            <v>0</v>
          </cell>
          <cell r="R476">
            <v>1.0252300508275299E-3</v>
          </cell>
          <cell r="S476">
            <v>0</v>
          </cell>
          <cell r="T476">
            <v>0</v>
          </cell>
        </row>
        <row r="477">
          <cell r="A477" t="str">
            <v>SchoolSecondaryCORNER_CLASS_1_POD_2_ZN_1_FLR_1</v>
          </cell>
          <cell r="B477" t="str">
            <v>STD2004</v>
          </cell>
          <cell r="C477" t="str">
            <v>Buffalo</v>
          </cell>
          <cell r="D477" t="str">
            <v>SchoolSecondary</v>
          </cell>
          <cell r="E477" t="str">
            <v>CORNER_CLASS_1_POD_2_ZN_1_FLR_1</v>
          </cell>
          <cell r="F477">
            <v>99</v>
          </cell>
          <cell r="G477">
            <v>1</v>
          </cell>
          <cell r="H477" t="str">
            <v>Yes</v>
          </cell>
          <cell r="I477" t="str">
            <v>VAV_POD_2</v>
          </cell>
          <cell r="J477">
            <v>80</v>
          </cell>
          <cell r="K477">
            <v>28</v>
          </cell>
          <cell r="L477">
            <v>15.0695</v>
          </cell>
          <cell r="M477">
            <v>2.65</v>
          </cell>
          <cell r="N477">
            <v>10</v>
          </cell>
          <cell r="O477">
            <v>0</v>
          </cell>
          <cell r="P477">
            <v>0</v>
          </cell>
          <cell r="R477">
            <v>1.0252300508275299E-3</v>
          </cell>
          <cell r="S477">
            <v>0</v>
          </cell>
          <cell r="T477">
            <v>0</v>
          </cell>
        </row>
        <row r="478">
          <cell r="A478" t="str">
            <v>SchoolSecondaryCORNER_CLASS_1_POD_2_ZN_1_FLR_2</v>
          </cell>
          <cell r="B478" t="str">
            <v>STD2004</v>
          </cell>
          <cell r="C478" t="str">
            <v>Buffalo</v>
          </cell>
          <cell r="D478" t="str">
            <v>SchoolSecondary</v>
          </cell>
          <cell r="E478" t="str">
            <v>CORNER_CLASS_1_POD_2_ZN_1_FLR_2</v>
          </cell>
          <cell r="F478">
            <v>99</v>
          </cell>
          <cell r="G478">
            <v>1</v>
          </cell>
          <cell r="H478" t="str">
            <v>Yes</v>
          </cell>
          <cell r="I478" t="str">
            <v>VAV_POD_2</v>
          </cell>
          <cell r="J478">
            <v>80</v>
          </cell>
          <cell r="K478">
            <v>28</v>
          </cell>
          <cell r="L478">
            <v>15.0695</v>
          </cell>
          <cell r="M478">
            <v>2.65</v>
          </cell>
          <cell r="N478">
            <v>10</v>
          </cell>
          <cell r="O478">
            <v>0</v>
          </cell>
          <cell r="P478">
            <v>0</v>
          </cell>
          <cell r="R478">
            <v>1.0252300508275299E-3</v>
          </cell>
          <cell r="S478">
            <v>0</v>
          </cell>
          <cell r="T478">
            <v>0</v>
          </cell>
        </row>
        <row r="479">
          <cell r="A479" t="str">
            <v>SchoolSecondaryMULT_CLASS_1_POD_2_ZN_1_FLR_1</v>
          </cell>
          <cell r="B479" t="str">
            <v>STD2004</v>
          </cell>
          <cell r="C479" t="str">
            <v>Buffalo</v>
          </cell>
          <cell r="D479" t="str">
            <v>SchoolSecondary</v>
          </cell>
          <cell r="E479" t="str">
            <v>MULT_CLASS_1_POD_2_ZN_1_FLR_1</v>
          </cell>
          <cell r="F479">
            <v>477</v>
          </cell>
          <cell r="G479">
            <v>1</v>
          </cell>
          <cell r="H479" t="str">
            <v>Yes</v>
          </cell>
          <cell r="I479" t="str">
            <v>VAV_POD_2</v>
          </cell>
          <cell r="J479">
            <v>212</v>
          </cell>
          <cell r="K479">
            <v>74.2</v>
          </cell>
          <cell r="L479">
            <v>15.0695</v>
          </cell>
          <cell r="M479">
            <v>2.65</v>
          </cell>
          <cell r="N479">
            <v>10</v>
          </cell>
          <cell r="O479">
            <v>0</v>
          </cell>
          <cell r="P479">
            <v>0</v>
          </cell>
          <cell r="R479">
            <v>1.0252300508275299E-3</v>
          </cell>
          <cell r="S479">
            <v>0</v>
          </cell>
          <cell r="T479">
            <v>0</v>
          </cell>
        </row>
        <row r="480">
          <cell r="A480" t="str">
            <v>SchoolSecondaryMULT_CLASS_1_POD_2_ZN_1_FLR_2</v>
          </cell>
          <cell r="B480" t="str">
            <v>STD2004</v>
          </cell>
          <cell r="C480" t="str">
            <v>Buffalo</v>
          </cell>
          <cell r="D480" t="str">
            <v>SchoolSecondary</v>
          </cell>
          <cell r="E480" t="str">
            <v>MULT_CLASS_1_POD_2_ZN_1_FLR_2</v>
          </cell>
          <cell r="F480">
            <v>477</v>
          </cell>
          <cell r="G480">
            <v>1</v>
          </cell>
          <cell r="H480" t="str">
            <v>Yes</v>
          </cell>
          <cell r="I480" t="str">
            <v>VAV_POD_2</v>
          </cell>
          <cell r="J480">
            <v>212</v>
          </cell>
          <cell r="K480">
            <v>74.2</v>
          </cell>
          <cell r="L480">
            <v>15.0695</v>
          </cell>
          <cell r="M480">
            <v>2.65</v>
          </cell>
          <cell r="N480">
            <v>10</v>
          </cell>
          <cell r="O480">
            <v>0</v>
          </cell>
          <cell r="P480">
            <v>0</v>
          </cell>
          <cell r="R480">
            <v>1.0252300508275299E-3</v>
          </cell>
          <cell r="S480">
            <v>0</v>
          </cell>
          <cell r="T480">
            <v>0</v>
          </cell>
        </row>
        <row r="481">
          <cell r="A481" t="str">
            <v>SchoolSecondaryCORRIDOR_POD_2_ZN_1_FLR_1</v>
          </cell>
          <cell r="B481" t="str">
            <v>STD2004</v>
          </cell>
          <cell r="C481" t="str">
            <v>Buffalo</v>
          </cell>
          <cell r="D481" t="str">
            <v>SchoolSecondary</v>
          </cell>
          <cell r="E481" t="str">
            <v>CORRIDOR_POD_2_ZN_1_FLR_1</v>
          </cell>
          <cell r="F481">
            <v>320</v>
          </cell>
          <cell r="G481">
            <v>1</v>
          </cell>
          <cell r="H481" t="str">
            <v>Yes</v>
          </cell>
          <cell r="I481" t="str">
            <v>VAV_POD_2</v>
          </cell>
          <cell r="J481">
            <v>20</v>
          </cell>
          <cell r="K481">
            <v>7</v>
          </cell>
          <cell r="L481">
            <v>5.5178000000000003</v>
          </cell>
          <cell r="M481">
            <v>18.579999999999998</v>
          </cell>
          <cell r="N481">
            <v>4</v>
          </cell>
          <cell r="O481">
            <v>0</v>
          </cell>
          <cell r="P481">
            <v>0</v>
          </cell>
          <cell r="R481">
            <v>1.0252300508275299E-3</v>
          </cell>
          <cell r="S481">
            <v>0</v>
          </cell>
          <cell r="T481">
            <v>0</v>
          </cell>
        </row>
        <row r="482">
          <cell r="A482" t="str">
            <v>SchoolSecondaryCORRIDOR_POD_2_ZN_1_FLR_2</v>
          </cell>
          <cell r="B482" t="str">
            <v>STD2004</v>
          </cell>
          <cell r="C482" t="str">
            <v>Buffalo</v>
          </cell>
          <cell r="D482" t="str">
            <v>SchoolSecondary</v>
          </cell>
          <cell r="E482" t="str">
            <v>CORRIDOR_POD_2_ZN_1_FLR_2</v>
          </cell>
          <cell r="F482">
            <v>320</v>
          </cell>
          <cell r="G482">
            <v>1</v>
          </cell>
          <cell r="H482" t="str">
            <v>Yes</v>
          </cell>
          <cell r="I482" t="str">
            <v>VAV_POD_2</v>
          </cell>
          <cell r="J482">
            <v>20</v>
          </cell>
          <cell r="K482">
            <v>7</v>
          </cell>
          <cell r="L482">
            <v>5.5178000000000003</v>
          </cell>
          <cell r="M482">
            <v>18.579999999999998</v>
          </cell>
          <cell r="N482">
            <v>4</v>
          </cell>
          <cell r="O482">
            <v>0</v>
          </cell>
          <cell r="P482">
            <v>0</v>
          </cell>
          <cell r="R482">
            <v>1.0252300508275299E-3</v>
          </cell>
          <cell r="S482">
            <v>0</v>
          </cell>
          <cell r="T482">
            <v>0</v>
          </cell>
        </row>
        <row r="483">
          <cell r="A483" t="str">
            <v>SchoolSecondaryCORNER_CLASS_2_POD_2_ZN_1_FLR_1</v>
          </cell>
          <cell r="B483" t="str">
            <v>STD2004</v>
          </cell>
          <cell r="C483" t="str">
            <v>Buffalo</v>
          </cell>
          <cell r="D483" t="str">
            <v>SchoolSecondary</v>
          </cell>
          <cell r="E483" t="str">
            <v>CORNER_CLASS_2_POD_2_ZN_1_FLR_1</v>
          </cell>
          <cell r="F483">
            <v>99</v>
          </cell>
          <cell r="G483">
            <v>1</v>
          </cell>
          <cell r="H483" t="str">
            <v>Yes</v>
          </cell>
          <cell r="I483" t="str">
            <v>VAV_POD_2</v>
          </cell>
          <cell r="J483">
            <v>80</v>
          </cell>
          <cell r="K483">
            <v>28</v>
          </cell>
          <cell r="L483">
            <v>15.0695</v>
          </cell>
          <cell r="M483">
            <v>2.65</v>
          </cell>
          <cell r="N483">
            <v>10</v>
          </cell>
          <cell r="O483">
            <v>0</v>
          </cell>
          <cell r="P483">
            <v>0</v>
          </cell>
          <cell r="R483">
            <v>1.0252300508275299E-3</v>
          </cell>
          <cell r="S483">
            <v>0</v>
          </cell>
          <cell r="T483">
            <v>0</v>
          </cell>
        </row>
        <row r="484">
          <cell r="A484" t="str">
            <v>SchoolSecondaryCORNER_CLASS_2_POD_2_ZN_1_FLR_2</v>
          </cell>
          <cell r="B484" t="str">
            <v>STD2004</v>
          </cell>
          <cell r="C484" t="str">
            <v>Buffalo</v>
          </cell>
          <cell r="D484" t="str">
            <v>SchoolSecondary</v>
          </cell>
          <cell r="E484" t="str">
            <v>CORNER_CLASS_2_POD_2_ZN_1_FLR_2</v>
          </cell>
          <cell r="F484">
            <v>99</v>
          </cell>
          <cell r="G484">
            <v>1</v>
          </cell>
          <cell r="H484" t="str">
            <v>Yes</v>
          </cell>
          <cell r="I484" t="str">
            <v>VAV_POD_2</v>
          </cell>
          <cell r="J484">
            <v>80</v>
          </cell>
          <cell r="K484">
            <v>28</v>
          </cell>
          <cell r="L484">
            <v>15.0695</v>
          </cell>
          <cell r="M484">
            <v>2.65</v>
          </cell>
          <cell r="N484">
            <v>10</v>
          </cell>
          <cell r="O484">
            <v>0</v>
          </cell>
          <cell r="P484">
            <v>0</v>
          </cell>
          <cell r="R484">
            <v>1.0252300508275299E-3</v>
          </cell>
          <cell r="S484">
            <v>0</v>
          </cell>
          <cell r="T484">
            <v>0</v>
          </cell>
        </row>
        <row r="485">
          <cell r="A485" t="str">
            <v>SchoolSecondaryMULT_CLASS_2_POD_2_ZN_1_FLR_1</v>
          </cell>
          <cell r="B485" t="str">
            <v>STD2004</v>
          </cell>
          <cell r="C485" t="str">
            <v>Buffalo</v>
          </cell>
          <cell r="D485" t="str">
            <v>SchoolSecondary</v>
          </cell>
          <cell r="E485" t="str">
            <v>MULT_CLASS_2_POD_2_ZN_1_FLR_1</v>
          </cell>
          <cell r="F485">
            <v>477</v>
          </cell>
          <cell r="G485">
            <v>1</v>
          </cell>
          <cell r="H485" t="str">
            <v>Yes</v>
          </cell>
          <cell r="I485" t="str">
            <v>VAV_POD_2</v>
          </cell>
          <cell r="J485">
            <v>212</v>
          </cell>
          <cell r="K485">
            <v>74.2</v>
          </cell>
          <cell r="L485">
            <v>15.0695</v>
          </cell>
          <cell r="M485">
            <v>2.65</v>
          </cell>
          <cell r="N485">
            <v>10</v>
          </cell>
          <cell r="O485">
            <v>0</v>
          </cell>
          <cell r="P485">
            <v>0</v>
          </cell>
          <cell r="R485">
            <v>1.0252300508275299E-3</v>
          </cell>
          <cell r="S485">
            <v>0</v>
          </cell>
          <cell r="T485">
            <v>0</v>
          </cell>
        </row>
        <row r="486">
          <cell r="A486" t="str">
            <v>SchoolSecondaryMULT_CLASS_2_POD_2_ZN_1_FLR_2</v>
          </cell>
          <cell r="B486" t="str">
            <v>STD2004</v>
          </cell>
          <cell r="C486" t="str">
            <v>Buffalo</v>
          </cell>
          <cell r="D486" t="str">
            <v>SchoolSecondary</v>
          </cell>
          <cell r="E486" t="str">
            <v>MULT_CLASS_2_POD_2_ZN_1_FLR_2</v>
          </cell>
          <cell r="F486">
            <v>477</v>
          </cell>
          <cell r="G486">
            <v>1</v>
          </cell>
          <cell r="H486" t="str">
            <v>Yes</v>
          </cell>
          <cell r="I486" t="str">
            <v>VAV_POD_2</v>
          </cell>
          <cell r="J486">
            <v>212</v>
          </cell>
          <cell r="K486">
            <v>74.2</v>
          </cell>
          <cell r="L486">
            <v>15.0695</v>
          </cell>
          <cell r="M486">
            <v>2.65</v>
          </cell>
          <cell r="N486">
            <v>10</v>
          </cell>
          <cell r="O486">
            <v>0</v>
          </cell>
          <cell r="P486">
            <v>0</v>
          </cell>
          <cell r="R486">
            <v>1.0252300508275299E-3</v>
          </cell>
          <cell r="S486">
            <v>0</v>
          </cell>
          <cell r="T486">
            <v>0</v>
          </cell>
        </row>
        <row r="487">
          <cell r="A487" t="str">
            <v>SchoolSecondaryCORNER_CLASS_1_POD_3_ZN_1_FLR_1</v>
          </cell>
          <cell r="B487" t="str">
            <v>STD2004</v>
          </cell>
          <cell r="C487" t="str">
            <v>Buffalo</v>
          </cell>
          <cell r="D487" t="str">
            <v>SchoolSecondary</v>
          </cell>
          <cell r="E487" t="str">
            <v>CORNER_CLASS_1_POD_3_ZN_1_FLR_1</v>
          </cell>
          <cell r="F487">
            <v>99</v>
          </cell>
          <cell r="G487">
            <v>1</v>
          </cell>
          <cell r="H487" t="str">
            <v>Yes</v>
          </cell>
          <cell r="I487" t="str">
            <v>VAV_POD_3</v>
          </cell>
          <cell r="J487">
            <v>80</v>
          </cell>
          <cell r="K487">
            <v>28</v>
          </cell>
          <cell r="L487">
            <v>15.0695</v>
          </cell>
          <cell r="M487">
            <v>2.65</v>
          </cell>
          <cell r="N487">
            <v>10</v>
          </cell>
          <cell r="O487">
            <v>0</v>
          </cell>
          <cell r="P487">
            <v>0</v>
          </cell>
          <cell r="R487">
            <v>1.0252300508275299E-3</v>
          </cell>
          <cell r="S487">
            <v>0</v>
          </cell>
          <cell r="T487">
            <v>0</v>
          </cell>
        </row>
        <row r="488">
          <cell r="A488" t="str">
            <v>SchoolSecondaryCORNER_CLASS_1_POD_3_ZN_1_FLR_2</v>
          </cell>
          <cell r="B488" t="str">
            <v>STD2004</v>
          </cell>
          <cell r="C488" t="str">
            <v>Buffalo</v>
          </cell>
          <cell r="D488" t="str">
            <v>SchoolSecondary</v>
          </cell>
          <cell r="E488" t="str">
            <v>CORNER_CLASS_1_POD_3_ZN_1_FLR_2</v>
          </cell>
          <cell r="F488">
            <v>99</v>
          </cell>
          <cell r="G488">
            <v>1</v>
          </cell>
          <cell r="H488" t="str">
            <v>Yes</v>
          </cell>
          <cell r="I488" t="str">
            <v>VAV_POD_3</v>
          </cell>
          <cell r="J488">
            <v>80</v>
          </cell>
          <cell r="K488">
            <v>28</v>
          </cell>
          <cell r="L488">
            <v>15.0695</v>
          </cell>
          <cell r="M488">
            <v>2.65</v>
          </cell>
          <cell r="N488">
            <v>10</v>
          </cell>
          <cell r="O488">
            <v>0</v>
          </cell>
          <cell r="P488">
            <v>0</v>
          </cell>
          <cell r="R488">
            <v>1.0252300508275299E-3</v>
          </cell>
          <cell r="S488">
            <v>0</v>
          </cell>
          <cell r="T488">
            <v>0</v>
          </cell>
        </row>
        <row r="489">
          <cell r="A489" t="str">
            <v>SchoolSecondaryMULT_CLASS_1_POD_3_ZN_1_FLR_1</v>
          </cell>
          <cell r="B489" t="str">
            <v>STD2004</v>
          </cell>
          <cell r="C489" t="str">
            <v>Buffalo</v>
          </cell>
          <cell r="D489" t="str">
            <v>SchoolSecondary</v>
          </cell>
          <cell r="E489" t="str">
            <v>MULT_CLASS_1_POD_3_ZN_1_FLR_1</v>
          </cell>
          <cell r="F489">
            <v>477</v>
          </cell>
          <cell r="G489">
            <v>1</v>
          </cell>
          <cell r="H489" t="str">
            <v>Yes</v>
          </cell>
          <cell r="I489" t="str">
            <v>VAV_POD_3</v>
          </cell>
          <cell r="J489">
            <v>212</v>
          </cell>
          <cell r="K489">
            <v>74.2</v>
          </cell>
          <cell r="L489">
            <v>15.0695</v>
          </cell>
          <cell r="M489">
            <v>2.65</v>
          </cell>
          <cell r="N489">
            <v>10</v>
          </cell>
          <cell r="O489">
            <v>0</v>
          </cell>
          <cell r="P489">
            <v>0</v>
          </cell>
          <cell r="R489">
            <v>1.0252300508275299E-3</v>
          </cell>
          <cell r="S489">
            <v>0</v>
          </cell>
          <cell r="T489">
            <v>0</v>
          </cell>
        </row>
        <row r="490">
          <cell r="A490" t="str">
            <v>SchoolSecondaryMULT_CLASS_1_POD_3_ZN_1_FLR_2</v>
          </cell>
          <cell r="B490" t="str">
            <v>STD2004</v>
          </cell>
          <cell r="C490" t="str">
            <v>Buffalo</v>
          </cell>
          <cell r="D490" t="str">
            <v>SchoolSecondary</v>
          </cell>
          <cell r="E490" t="str">
            <v>MULT_CLASS_1_POD_3_ZN_1_FLR_2</v>
          </cell>
          <cell r="F490">
            <v>477</v>
          </cell>
          <cell r="G490">
            <v>1</v>
          </cell>
          <cell r="H490" t="str">
            <v>Yes</v>
          </cell>
          <cell r="I490" t="str">
            <v>VAV_POD_3</v>
          </cell>
          <cell r="J490">
            <v>212</v>
          </cell>
          <cell r="K490">
            <v>74.2</v>
          </cell>
          <cell r="L490">
            <v>15.0695</v>
          </cell>
          <cell r="M490">
            <v>2.65</v>
          </cell>
          <cell r="N490">
            <v>20</v>
          </cell>
          <cell r="O490">
            <v>0</v>
          </cell>
          <cell r="P490">
            <v>0</v>
          </cell>
          <cell r="R490">
            <v>1.0252300508275299E-3</v>
          </cell>
          <cell r="S490">
            <v>0</v>
          </cell>
          <cell r="T490">
            <v>0</v>
          </cell>
        </row>
        <row r="491">
          <cell r="A491" t="str">
            <v>SchoolSecondaryCORRIDOR_POD_3_ZN_1_FLR_1</v>
          </cell>
          <cell r="B491" t="str">
            <v>STD2004</v>
          </cell>
          <cell r="C491" t="str">
            <v>Buffalo</v>
          </cell>
          <cell r="D491" t="str">
            <v>SchoolSecondary</v>
          </cell>
          <cell r="E491" t="str">
            <v>CORRIDOR_POD_3_ZN_1_FLR_1</v>
          </cell>
          <cell r="F491">
            <v>320</v>
          </cell>
          <cell r="G491">
            <v>1</v>
          </cell>
          <cell r="H491" t="str">
            <v>Yes</v>
          </cell>
          <cell r="I491" t="str">
            <v>VAV_POD_3</v>
          </cell>
          <cell r="J491">
            <v>20</v>
          </cell>
          <cell r="K491">
            <v>7</v>
          </cell>
          <cell r="L491">
            <v>5.5178000000000003</v>
          </cell>
          <cell r="M491">
            <v>18.579999999999998</v>
          </cell>
          <cell r="N491">
            <v>4</v>
          </cell>
          <cell r="O491">
            <v>0</v>
          </cell>
          <cell r="P491">
            <v>0</v>
          </cell>
          <cell r="R491">
            <v>1.0252300508275299E-3</v>
          </cell>
          <cell r="S491">
            <v>0</v>
          </cell>
          <cell r="T491">
            <v>0</v>
          </cell>
        </row>
        <row r="492">
          <cell r="A492" t="str">
            <v>SchoolSecondaryCORRIDOR_POD_3_ZN_1_FLR_2</v>
          </cell>
          <cell r="B492" t="str">
            <v>STD2004</v>
          </cell>
          <cell r="C492" t="str">
            <v>Buffalo</v>
          </cell>
          <cell r="D492" t="str">
            <v>SchoolSecondary</v>
          </cell>
          <cell r="E492" t="str">
            <v>CORRIDOR_POD_3_ZN_1_FLR_2</v>
          </cell>
          <cell r="F492">
            <v>320</v>
          </cell>
          <cell r="G492">
            <v>1</v>
          </cell>
          <cell r="H492" t="str">
            <v>Yes</v>
          </cell>
          <cell r="I492" t="str">
            <v>VAV_POD_3</v>
          </cell>
          <cell r="J492">
            <v>20</v>
          </cell>
          <cell r="K492">
            <v>7</v>
          </cell>
          <cell r="L492">
            <v>5.5178000000000003</v>
          </cell>
          <cell r="M492">
            <v>18.579999999999998</v>
          </cell>
          <cell r="N492">
            <v>4</v>
          </cell>
          <cell r="O492">
            <v>0</v>
          </cell>
          <cell r="P492">
            <v>0</v>
          </cell>
          <cell r="R492">
            <v>1.0252300508275299E-3</v>
          </cell>
          <cell r="S492">
            <v>0</v>
          </cell>
          <cell r="T492">
            <v>0</v>
          </cell>
        </row>
        <row r="493">
          <cell r="A493" t="str">
            <v>SchoolSecondaryCORNER_CLASS_2_POD_3_ZN_1_FLR_1</v>
          </cell>
          <cell r="B493" t="str">
            <v>STD2004</v>
          </cell>
          <cell r="C493" t="str">
            <v>Buffalo</v>
          </cell>
          <cell r="D493" t="str">
            <v>SchoolSecondary</v>
          </cell>
          <cell r="E493" t="str">
            <v>CORNER_CLASS_2_POD_3_ZN_1_FLR_1</v>
          </cell>
          <cell r="F493">
            <v>99</v>
          </cell>
          <cell r="G493">
            <v>1</v>
          </cell>
          <cell r="H493" t="str">
            <v>Yes</v>
          </cell>
          <cell r="I493" t="str">
            <v>VAV_POD_3</v>
          </cell>
          <cell r="J493">
            <v>80</v>
          </cell>
          <cell r="K493">
            <v>28</v>
          </cell>
          <cell r="L493">
            <v>15.0695</v>
          </cell>
          <cell r="M493">
            <v>2.65</v>
          </cell>
          <cell r="N493">
            <v>10</v>
          </cell>
          <cell r="O493">
            <v>0</v>
          </cell>
          <cell r="P493">
            <v>0</v>
          </cell>
          <cell r="R493">
            <v>1.0252300508275299E-3</v>
          </cell>
          <cell r="S493">
            <v>0</v>
          </cell>
          <cell r="T493">
            <v>0</v>
          </cell>
        </row>
        <row r="494">
          <cell r="A494" t="str">
            <v>SchoolSecondaryCORNER_CLASS_2_POD_3_ZN_1_FLR_2</v>
          </cell>
          <cell r="B494" t="str">
            <v>STD2004</v>
          </cell>
          <cell r="C494" t="str">
            <v>Buffalo</v>
          </cell>
          <cell r="D494" t="str">
            <v>SchoolSecondary</v>
          </cell>
          <cell r="E494" t="str">
            <v>CORNER_CLASS_2_POD_3_ZN_1_FLR_2</v>
          </cell>
          <cell r="F494">
            <v>99</v>
          </cell>
          <cell r="G494">
            <v>1</v>
          </cell>
          <cell r="H494" t="str">
            <v>Yes</v>
          </cell>
          <cell r="I494" t="str">
            <v>VAV_POD_3</v>
          </cell>
          <cell r="J494">
            <v>80</v>
          </cell>
          <cell r="K494">
            <v>28</v>
          </cell>
          <cell r="L494">
            <v>15.0695</v>
          </cell>
          <cell r="M494">
            <v>2.65</v>
          </cell>
          <cell r="N494">
            <v>10</v>
          </cell>
          <cell r="O494">
            <v>0</v>
          </cell>
          <cell r="P494">
            <v>0</v>
          </cell>
          <cell r="R494">
            <v>1.0252300508275299E-3</v>
          </cell>
          <cell r="S494">
            <v>0</v>
          </cell>
          <cell r="T494">
            <v>0</v>
          </cell>
        </row>
        <row r="495">
          <cell r="A495" t="str">
            <v>SchoolSecondaryMULT_CLASS_2_POD_3_ZN_1_FLR_1</v>
          </cell>
          <cell r="B495" t="str">
            <v>STD2004</v>
          </cell>
          <cell r="C495" t="str">
            <v>Buffalo</v>
          </cell>
          <cell r="D495" t="str">
            <v>SchoolSecondary</v>
          </cell>
          <cell r="E495" t="str">
            <v>MULT_CLASS_2_POD_3_ZN_1_FLR_1</v>
          </cell>
          <cell r="F495">
            <v>477</v>
          </cell>
          <cell r="G495">
            <v>1</v>
          </cell>
          <cell r="H495" t="str">
            <v>Yes</v>
          </cell>
          <cell r="I495" t="str">
            <v>VAV_POD_3</v>
          </cell>
          <cell r="J495">
            <v>212</v>
          </cell>
          <cell r="K495">
            <v>74.19</v>
          </cell>
          <cell r="L495">
            <v>15.0695</v>
          </cell>
          <cell r="M495">
            <v>2.65</v>
          </cell>
          <cell r="N495">
            <v>10</v>
          </cell>
          <cell r="O495">
            <v>0</v>
          </cell>
          <cell r="P495">
            <v>0</v>
          </cell>
          <cell r="R495">
            <v>1.0252300508275299E-3</v>
          </cell>
          <cell r="S495">
            <v>0</v>
          </cell>
          <cell r="T495">
            <v>0</v>
          </cell>
        </row>
        <row r="496">
          <cell r="A496" t="str">
            <v>SchoolSecondaryMULT_CLASS_2_POD_3_ZN_1_FLR_2</v>
          </cell>
          <cell r="B496" t="str">
            <v>STD2004</v>
          </cell>
          <cell r="C496" t="str">
            <v>Buffalo</v>
          </cell>
          <cell r="D496" t="str">
            <v>SchoolSecondary</v>
          </cell>
          <cell r="E496" t="str">
            <v>MULT_CLASS_2_POD_3_ZN_1_FLR_2</v>
          </cell>
          <cell r="F496">
            <v>477</v>
          </cell>
          <cell r="G496">
            <v>1</v>
          </cell>
          <cell r="H496" t="str">
            <v>Yes</v>
          </cell>
          <cell r="I496" t="str">
            <v>VAV_POD_3</v>
          </cell>
          <cell r="J496">
            <v>212</v>
          </cell>
          <cell r="K496">
            <v>74.2</v>
          </cell>
          <cell r="L496">
            <v>15.0695</v>
          </cell>
          <cell r="M496">
            <v>2.65</v>
          </cell>
          <cell r="N496">
            <v>20</v>
          </cell>
          <cell r="O496">
            <v>0</v>
          </cell>
          <cell r="P496">
            <v>0</v>
          </cell>
          <cell r="R496">
            <v>1.0252300508275299E-3</v>
          </cell>
          <cell r="S496">
            <v>0</v>
          </cell>
          <cell r="T496">
            <v>0</v>
          </cell>
        </row>
        <row r="497">
          <cell r="A497" t="str">
            <v>SchoolSecondaryMAIN_CORRIDOR_ZN_1_FLR_1</v>
          </cell>
          <cell r="B497" t="str">
            <v>STD2004</v>
          </cell>
          <cell r="C497" t="str">
            <v>Buffalo</v>
          </cell>
          <cell r="D497" t="str">
            <v>SchoolSecondary</v>
          </cell>
          <cell r="E497" t="str">
            <v>MAIN_CORRIDOR_ZN_1_FLR_1</v>
          </cell>
          <cell r="F497">
            <v>1140</v>
          </cell>
          <cell r="G497">
            <v>1</v>
          </cell>
          <cell r="H497" t="str">
            <v>Yes</v>
          </cell>
          <cell r="I497" t="str">
            <v>VAV_OTHER</v>
          </cell>
          <cell r="J497">
            <v>140</v>
          </cell>
          <cell r="K497">
            <v>49</v>
          </cell>
          <cell r="L497">
            <v>5.5178000000000003</v>
          </cell>
          <cell r="M497">
            <v>18.579999999999998</v>
          </cell>
          <cell r="N497">
            <v>4</v>
          </cell>
          <cell r="O497">
            <v>0</v>
          </cell>
          <cell r="P497">
            <v>0</v>
          </cell>
          <cell r="Q497">
            <v>0</v>
          </cell>
          <cell r="R497">
            <v>1.0252300508275299E-3</v>
          </cell>
          <cell r="S497">
            <v>0</v>
          </cell>
          <cell r="T497">
            <v>0</v>
          </cell>
        </row>
        <row r="498">
          <cell r="A498" t="str">
            <v>SchoolSecondaryMAIN_CORRIDOR_ZN_1_FLR_2</v>
          </cell>
          <cell r="B498" t="str">
            <v>STD2004</v>
          </cell>
          <cell r="C498" t="str">
            <v>Buffalo</v>
          </cell>
          <cell r="D498" t="str">
            <v>SchoolSecondary</v>
          </cell>
          <cell r="E498" t="str">
            <v>MAIN_CORRIDOR_ZN_1_FLR_2</v>
          </cell>
          <cell r="F498">
            <v>1140</v>
          </cell>
          <cell r="G498">
            <v>1</v>
          </cell>
          <cell r="H498" t="str">
            <v>Yes</v>
          </cell>
          <cell r="I498" t="str">
            <v>VAV_OTHER</v>
          </cell>
          <cell r="J498">
            <v>140</v>
          </cell>
          <cell r="K498">
            <v>49</v>
          </cell>
          <cell r="L498">
            <v>5.5178000000000003</v>
          </cell>
          <cell r="M498">
            <v>18.579999999999998</v>
          </cell>
          <cell r="N498">
            <v>4</v>
          </cell>
          <cell r="O498">
            <v>0</v>
          </cell>
          <cell r="P498">
            <v>0</v>
          </cell>
          <cell r="Q498">
            <v>0</v>
          </cell>
          <cell r="R498">
            <v>1.0252300508275299E-3</v>
          </cell>
          <cell r="S498">
            <v>0</v>
          </cell>
          <cell r="T498">
            <v>0</v>
          </cell>
        </row>
        <row r="499">
          <cell r="A499" t="str">
            <v>SchoolSecondaryLOBBY_ZN_1_FLR_1</v>
          </cell>
          <cell r="B499" t="str">
            <v>STD2004</v>
          </cell>
          <cell r="C499" t="str">
            <v>Buffalo</v>
          </cell>
          <cell r="D499" t="str">
            <v>SchoolSecondary</v>
          </cell>
          <cell r="E499" t="str">
            <v>LOBBY_ZN_1_FLR_1</v>
          </cell>
          <cell r="F499">
            <v>210</v>
          </cell>
          <cell r="G499">
            <v>1</v>
          </cell>
          <cell r="H499" t="str">
            <v>Yes</v>
          </cell>
          <cell r="I499" t="str">
            <v>VAV_OTHER</v>
          </cell>
          <cell r="J499">
            <v>60</v>
          </cell>
          <cell r="K499">
            <v>21</v>
          </cell>
          <cell r="L499">
            <v>13.9931</v>
          </cell>
          <cell r="M499">
            <v>9.2899999999999991</v>
          </cell>
          <cell r="N499">
            <v>4</v>
          </cell>
          <cell r="O499">
            <v>0</v>
          </cell>
          <cell r="P499">
            <v>0</v>
          </cell>
          <cell r="R499">
            <v>1.0252300508275299E-3</v>
          </cell>
          <cell r="S499">
            <v>0</v>
          </cell>
          <cell r="T499">
            <v>7.1551884670000003</v>
          </cell>
        </row>
        <row r="500">
          <cell r="A500" t="str">
            <v>SchoolSecondaryLOBBY_ZN_1_FLR_2</v>
          </cell>
          <cell r="B500" t="str">
            <v>STD2004</v>
          </cell>
          <cell r="C500" t="str">
            <v>Buffalo</v>
          </cell>
          <cell r="D500" t="str">
            <v>SchoolSecondary</v>
          </cell>
          <cell r="E500" t="str">
            <v>LOBBY_ZN_1_FLR_2</v>
          </cell>
          <cell r="F500">
            <v>210</v>
          </cell>
          <cell r="G500">
            <v>1</v>
          </cell>
          <cell r="H500" t="str">
            <v>Yes</v>
          </cell>
          <cell r="I500" t="str">
            <v>VAV_OTHER</v>
          </cell>
          <cell r="J500">
            <v>60</v>
          </cell>
          <cell r="K500">
            <v>21</v>
          </cell>
          <cell r="L500">
            <v>13.9931</v>
          </cell>
          <cell r="M500">
            <v>9.2899999999999991</v>
          </cell>
          <cell r="N500">
            <v>4</v>
          </cell>
          <cell r="O500">
            <v>0</v>
          </cell>
          <cell r="P500">
            <v>0</v>
          </cell>
          <cell r="R500">
            <v>1.0252300508275299E-3</v>
          </cell>
          <cell r="S500">
            <v>0</v>
          </cell>
          <cell r="T500">
            <v>0</v>
          </cell>
        </row>
        <row r="501">
          <cell r="A501" t="str">
            <v>SchoolSecondaryBATHROOMS_ZN_1_FLR_1</v>
          </cell>
          <cell r="B501" t="str">
            <v>STD2004</v>
          </cell>
          <cell r="C501" t="str">
            <v>Buffalo</v>
          </cell>
          <cell r="D501" t="str">
            <v>SchoolSecondary</v>
          </cell>
          <cell r="E501" t="str">
            <v>BATHROOMS_ZN_1_FLR_1</v>
          </cell>
          <cell r="F501">
            <v>210</v>
          </cell>
          <cell r="G501">
            <v>1</v>
          </cell>
          <cell r="H501" t="str">
            <v>Yes</v>
          </cell>
          <cell r="I501" t="str">
            <v>VAV_OTHER</v>
          </cell>
          <cell r="J501">
            <v>72</v>
          </cell>
          <cell r="K501">
            <v>25.2</v>
          </cell>
          <cell r="L501">
            <v>9.6875</v>
          </cell>
          <cell r="M501">
            <v>18.579999999999998</v>
          </cell>
          <cell r="N501">
            <v>4</v>
          </cell>
          <cell r="O501">
            <v>0</v>
          </cell>
          <cell r="P501">
            <v>0</v>
          </cell>
          <cell r="Q501">
            <v>0.28000000000000003</v>
          </cell>
          <cell r="R501">
            <v>1.0252300508275299E-3</v>
          </cell>
          <cell r="S501">
            <v>0</v>
          </cell>
          <cell r="T501">
            <v>0</v>
          </cell>
        </row>
        <row r="502">
          <cell r="A502" t="str">
            <v>SchoolSecondaryBATHROOMS_ZN_1_FLR_2</v>
          </cell>
          <cell r="B502" t="str">
            <v>STD2004</v>
          </cell>
          <cell r="C502" t="str">
            <v>Buffalo</v>
          </cell>
          <cell r="D502" t="str">
            <v>SchoolSecondary</v>
          </cell>
          <cell r="E502" t="str">
            <v>BATHROOMS_ZN_1_FLR_2</v>
          </cell>
          <cell r="F502">
            <v>210</v>
          </cell>
          <cell r="G502">
            <v>1</v>
          </cell>
          <cell r="H502" t="str">
            <v>Yes</v>
          </cell>
          <cell r="I502" t="str">
            <v>VAV_OTHER</v>
          </cell>
          <cell r="J502">
            <v>72</v>
          </cell>
          <cell r="K502">
            <v>25.2</v>
          </cell>
          <cell r="L502">
            <v>9.6875</v>
          </cell>
          <cell r="M502">
            <v>18.579999999999998</v>
          </cell>
          <cell r="N502">
            <v>4</v>
          </cell>
          <cell r="O502">
            <v>0</v>
          </cell>
          <cell r="P502">
            <v>0</v>
          </cell>
          <cell r="Q502">
            <v>0.28000000000000003</v>
          </cell>
          <cell r="R502">
            <v>1.0252300508275299E-3</v>
          </cell>
          <cell r="S502">
            <v>0</v>
          </cell>
          <cell r="T502">
            <v>0</v>
          </cell>
        </row>
        <row r="503">
          <cell r="A503" t="str">
            <v>SchoolSecondaryOFFICES_ZN_1_FLR_1</v>
          </cell>
          <cell r="B503" t="str">
            <v>STD2004</v>
          </cell>
          <cell r="C503" t="str">
            <v>Buffalo</v>
          </cell>
          <cell r="D503" t="str">
            <v>SchoolSecondary</v>
          </cell>
          <cell r="E503" t="str">
            <v>OFFICES_ZN_1_FLR_1</v>
          </cell>
          <cell r="F503">
            <v>532</v>
          </cell>
          <cell r="G503">
            <v>1</v>
          </cell>
          <cell r="H503" t="str">
            <v>Yes</v>
          </cell>
          <cell r="I503" t="str">
            <v>VAV_OTHER</v>
          </cell>
          <cell r="J503">
            <v>208</v>
          </cell>
          <cell r="K503">
            <v>72.8</v>
          </cell>
          <cell r="L503">
            <v>11.840299999999999</v>
          </cell>
          <cell r="M503">
            <v>18.579999999999998</v>
          </cell>
          <cell r="N503">
            <v>10.8</v>
          </cell>
          <cell r="O503">
            <v>0</v>
          </cell>
          <cell r="P503">
            <v>0</v>
          </cell>
          <cell r="R503">
            <v>1.0252300508275299E-3</v>
          </cell>
          <cell r="S503">
            <v>0</v>
          </cell>
          <cell r="T503">
            <v>0</v>
          </cell>
        </row>
        <row r="504">
          <cell r="A504" t="str">
            <v>SchoolSecondaryOFFICES_ZN_1_FLR_2</v>
          </cell>
          <cell r="B504" t="str">
            <v>STD2004</v>
          </cell>
          <cell r="C504" t="str">
            <v>Buffalo</v>
          </cell>
          <cell r="D504" t="str">
            <v>SchoolSecondary</v>
          </cell>
          <cell r="E504" t="str">
            <v>OFFICES_ZN_1_FLR_2</v>
          </cell>
          <cell r="F504">
            <v>532</v>
          </cell>
          <cell r="G504">
            <v>1</v>
          </cell>
          <cell r="H504" t="str">
            <v>Yes</v>
          </cell>
          <cell r="I504" t="str">
            <v>VAV_OTHER</v>
          </cell>
          <cell r="J504">
            <v>208</v>
          </cell>
          <cell r="K504">
            <v>72.8</v>
          </cell>
          <cell r="L504">
            <v>11.840299999999999</v>
          </cell>
          <cell r="M504">
            <v>18.579999999999998</v>
          </cell>
          <cell r="N504">
            <v>10.8</v>
          </cell>
          <cell r="O504">
            <v>0</v>
          </cell>
          <cell r="P504">
            <v>0</v>
          </cell>
          <cell r="R504">
            <v>1.0252300508275299E-3</v>
          </cell>
          <cell r="S504">
            <v>0</v>
          </cell>
          <cell r="T504">
            <v>0</v>
          </cell>
        </row>
        <row r="505">
          <cell r="A505" t="str">
            <v>SchoolSecondaryGYM_ZN_1_FLR_1</v>
          </cell>
          <cell r="B505" t="str">
            <v>STD2004</v>
          </cell>
          <cell r="C505" t="str">
            <v>Buffalo</v>
          </cell>
          <cell r="D505" t="str">
            <v>SchoolSecondary</v>
          </cell>
          <cell r="E505" t="str">
            <v>GYM_ZN_1_FLR_1</v>
          </cell>
          <cell r="F505">
            <v>1976</v>
          </cell>
          <cell r="G505">
            <v>1</v>
          </cell>
          <cell r="H505" t="str">
            <v>Yes</v>
          </cell>
          <cell r="I505" t="str">
            <v>PSZ-AC_1:5</v>
          </cell>
          <cell r="J505">
            <v>0</v>
          </cell>
          <cell r="K505">
            <v>0</v>
          </cell>
          <cell r="L505">
            <v>13.347200000000001</v>
          </cell>
          <cell r="M505">
            <v>3.1</v>
          </cell>
          <cell r="N505">
            <v>5</v>
          </cell>
          <cell r="O505">
            <v>0</v>
          </cell>
          <cell r="P505">
            <v>6.0228000000000002</v>
          </cell>
          <cell r="Q505">
            <v>0</v>
          </cell>
          <cell r="R505">
            <v>1.0252300508275299E-3</v>
          </cell>
          <cell r="S505">
            <v>0</v>
          </cell>
          <cell r="T505">
            <v>0</v>
          </cell>
        </row>
        <row r="506">
          <cell r="A506" t="str">
            <v>SchoolSecondaryAUX_GYM_ZN_1_FLR_1</v>
          </cell>
          <cell r="B506" t="str">
            <v>STD2004</v>
          </cell>
          <cell r="C506" t="str">
            <v>Buffalo</v>
          </cell>
          <cell r="D506" t="str">
            <v>SchoolSecondary</v>
          </cell>
          <cell r="E506" t="str">
            <v>AUX_GYM_ZN_1_FLR_1</v>
          </cell>
          <cell r="F506">
            <v>1248</v>
          </cell>
          <cell r="G506">
            <v>1</v>
          </cell>
          <cell r="H506" t="str">
            <v>Yes</v>
          </cell>
          <cell r="I506" t="str">
            <v>PSZ-AC_2:6</v>
          </cell>
          <cell r="J506">
            <v>608</v>
          </cell>
          <cell r="K506">
            <v>212.8</v>
          </cell>
          <cell r="L506">
            <v>13.347200000000001</v>
          </cell>
          <cell r="M506">
            <v>3.1</v>
          </cell>
          <cell r="N506">
            <v>5</v>
          </cell>
          <cell r="O506">
            <v>0</v>
          </cell>
          <cell r="P506">
            <v>3.8039000000000001</v>
          </cell>
          <cell r="R506">
            <v>1.0252300508275299E-3</v>
          </cell>
          <cell r="S506">
            <v>0</v>
          </cell>
          <cell r="T506">
            <v>0</v>
          </cell>
        </row>
        <row r="507">
          <cell r="A507" t="str">
            <v>SchoolSecondaryAUDITORIUM_ZN_1_FLR_1</v>
          </cell>
          <cell r="B507" t="str">
            <v>STD2004</v>
          </cell>
          <cell r="C507" t="str">
            <v>Buffalo</v>
          </cell>
          <cell r="D507" t="str">
            <v>SchoolSecondary</v>
          </cell>
          <cell r="E507" t="str">
            <v>AUDITORIUM_ZN_1_FLR_1</v>
          </cell>
          <cell r="F507">
            <v>988</v>
          </cell>
          <cell r="G507">
            <v>1</v>
          </cell>
          <cell r="H507" t="str">
            <v>Yes</v>
          </cell>
          <cell r="I507" t="str">
            <v>PSZ-AC_3:7</v>
          </cell>
          <cell r="J507">
            <v>304</v>
          </cell>
          <cell r="K507">
            <v>106.4</v>
          </cell>
          <cell r="L507">
            <v>9.6875</v>
          </cell>
          <cell r="M507">
            <v>0.62</v>
          </cell>
          <cell r="N507">
            <v>5</v>
          </cell>
          <cell r="O507">
            <v>0</v>
          </cell>
          <cell r="P507">
            <v>11.2928</v>
          </cell>
          <cell r="R507">
            <v>1.0252300508275299E-3</v>
          </cell>
          <cell r="S507">
            <v>0</v>
          </cell>
          <cell r="T507">
            <v>0</v>
          </cell>
        </row>
        <row r="508">
          <cell r="A508" t="str">
            <v>SchoolSecondaryKITCHEN_ZN_1_FLR_1</v>
          </cell>
          <cell r="B508" t="str">
            <v>STD2004</v>
          </cell>
          <cell r="C508" t="str">
            <v>Buffalo</v>
          </cell>
          <cell r="D508" t="str">
            <v>SchoolSecondary</v>
          </cell>
          <cell r="E508" t="str">
            <v>KITCHEN_ZN_1_FLR_1</v>
          </cell>
          <cell r="F508">
            <v>216</v>
          </cell>
          <cell r="G508">
            <v>1</v>
          </cell>
          <cell r="H508" t="str">
            <v>Yes</v>
          </cell>
          <cell r="I508" t="str">
            <v>PSZ-AC_4:8</v>
          </cell>
          <cell r="J508">
            <v>36</v>
          </cell>
          <cell r="K508">
            <v>12.6</v>
          </cell>
          <cell r="L508">
            <v>12.916700000000001</v>
          </cell>
          <cell r="M508">
            <v>4.6399999999999997</v>
          </cell>
          <cell r="N508">
            <v>1909.5199</v>
          </cell>
          <cell r="O508">
            <v>362577.6</v>
          </cell>
          <cell r="P508">
            <v>0.68479999999999996</v>
          </cell>
          <cell r="Q508">
            <v>2.83</v>
          </cell>
          <cell r="R508">
            <v>1.0252300508275299E-3</v>
          </cell>
          <cell r="S508">
            <v>0</v>
          </cell>
          <cell r="T508">
            <v>0</v>
          </cell>
        </row>
        <row r="509">
          <cell r="A509" t="str">
            <v>SchoolSecondaryLIBRARY_MEDIA_CENTER_ZN_1_FLR_2</v>
          </cell>
          <cell r="B509" t="str">
            <v>STD2004</v>
          </cell>
          <cell r="C509" t="str">
            <v>Buffalo</v>
          </cell>
          <cell r="D509" t="str">
            <v>SchoolSecondary</v>
          </cell>
          <cell r="E509" t="str">
            <v>LIBRARY_MEDIA_CENTER_ZN_1_FLR_2</v>
          </cell>
          <cell r="F509">
            <v>840</v>
          </cell>
          <cell r="G509">
            <v>1</v>
          </cell>
          <cell r="H509" t="str">
            <v>Yes</v>
          </cell>
          <cell r="I509" t="str">
            <v>VAV_OTHER</v>
          </cell>
          <cell r="J509">
            <v>236</v>
          </cell>
          <cell r="K509">
            <v>82.6</v>
          </cell>
          <cell r="L509">
            <v>16.684000000000001</v>
          </cell>
          <cell r="M509">
            <v>9.2899999999999991</v>
          </cell>
          <cell r="N509">
            <v>10</v>
          </cell>
          <cell r="O509">
            <v>0</v>
          </cell>
          <cell r="P509">
            <v>0</v>
          </cell>
          <cell r="R509">
            <v>1.0252300508275299E-3</v>
          </cell>
          <cell r="S509">
            <v>0</v>
          </cell>
          <cell r="T509">
            <v>0</v>
          </cell>
        </row>
        <row r="510">
          <cell r="A510" t="str">
            <v>SchoolSecondaryCAFETERIA_ZN_1_FLR_1</v>
          </cell>
          <cell r="B510" t="str">
            <v>STD2004</v>
          </cell>
          <cell r="C510" t="str">
            <v>Buffalo</v>
          </cell>
          <cell r="D510" t="str">
            <v>SchoolSecondary</v>
          </cell>
          <cell r="E510" t="str">
            <v>CAFETERIA_ZN_1_FLR_1</v>
          </cell>
          <cell r="F510">
            <v>624</v>
          </cell>
          <cell r="G510">
            <v>1</v>
          </cell>
          <cell r="H510" t="str">
            <v>Yes</v>
          </cell>
          <cell r="I510" t="str">
            <v>PSZ-AC_5:9</v>
          </cell>
          <cell r="J510">
            <v>200</v>
          </cell>
          <cell r="K510">
            <v>70</v>
          </cell>
          <cell r="L510">
            <v>9.6875</v>
          </cell>
          <cell r="M510">
            <v>0.93</v>
          </cell>
          <cell r="N510">
            <v>76.930000000000007</v>
          </cell>
          <cell r="O510">
            <v>0</v>
          </cell>
          <cell r="P510">
            <v>6.3398000000000003</v>
          </cell>
          <cell r="R510">
            <v>1.0252300508275299E-3</v>
          </cell>
          <cell r="S510">
            <v>0</v>
          </cell>
          <cell r="T510">
            <v>0</v>
          </cell>
        </row>
        <row r="511">
          <cell r="A511" t="str">
            <v>SchoolSecondaryMECH_ZN_1_FLR_1</v>
          </cell>
          <cell r="B511" t="str">
            <v>STD2004</v>
          </cell>
          <cell r="C511" t="str">
            <v>Buffalo</v>
          </cell>
          <cell r="D511" t="str">
            <v>SchoolSecondary</v>
          </cell>
          <cell r="E511" t="str">
            <v>MECH_ZN_1_FLR_1</v>
          </cell>
          <cell r="F511">
            <v>342</v>
          </cell>
          <cell r="G511">
            <v>1</v>
          </cell>
          <cell r="H511" t="str">
            <v>Yes</v>
          </cell>
          <cell r="I511" t="str">
            <v>VAV_OTHER</v>
          </cell>
          <cell r="J511">
            <v>0</v>
          </cell>
          <cell r="K511">
            <v>0</v>
          </cell>
          <cell r="L511">
            <v>16.145800000000001</v>
          </cell>
          <cell r="M511">
            <v>61.6</v>
          </cell>
          <cell r="N511">
            <v>71.202799999999996</v>
          </cell>
          <cell r="O511">
            <v>0</v>
          </cell>
          <cell r="P511">
            <v>0</v>
          </cell>
          <cell r="R511">
            <v>0</v>
          </cell>
          <cell r="S511">
            <v>0</v>
          </cell>
          <cell r="T511">
            <v>0</v>
          </cell>
        </row>
        <row r="512">
          <cell r="A512" t="str">
            <v>SchoolSecondaryMECH_ZN_1_FLR_2</v>
          </cell>
          <cell r="B512" t="str">
            <v>STD2004</v>
          </cell>
          <cell r="C512" t="str">
            <v>Buffalo</v>
          </cell>
          <cell r="D512" t="str">
            <v>SchoolSecondary</v>
          </cell>
          <cell r="E512" t="str">
            <v>MECH_ZN_1_FLR_2</v>
          </cell>
          <cell r="F512">
            <v>342</v>
          </cell>
          <cell r="G512">
            <v>1</v>
          </cell>
          <cell r="H512" t="str">
            <v>Yes</v>
          </cell>
          <cell r="I512" t="str">
            <v>VAV_OTHER</v>
          </cell>
          <cell r="J512">
            <v>0</v>
          </cell>
          <cell r="K512">
            <v>0</v>
          </cell>
          <cell r="L512">
            <v>16.145800000000001</v>
          </cell>
          <cell r="M512">
            <v>61.6</v>
          </cell>
          <cell r="N512">
            <v>4</v>
          </cell>
          <cell r="O512">
            <v>0</v>
          </cell>
          <cell r="P512">
            <v>0</v>
          </cell>
          <cell r="R512">
            <v>1.0252300508275299E-3</v>
          </cell>
          <cell r="S512">
            <v>0</v>
          </cell>
          <cell r="T512">
            <v>0</v>
          </cell>
        </row>
        <row r="513">
          <cell r="A513" t="str">
            <v>SchoolSecondaryTotal</v>
          </cell>
          <cell r="B513" t="str">
            <v>STD2004</v>
          </cell>
          <cell r="C513" t="str">
            <v>Buffalo</v>
          </cell>
          <cell r="D513" t="str">
            <v>SchoolSecondary</v>
          </cell>
          <cell r="E513" t="str">
            <v>Total</v>
          </cell>
          <cell r="F513">
            <v>19592</v>
          </cell>
          <cell r="J513">
            <v>5968</v>
          </cell>
          <cell r="K513">
            <v>2088.8000000000002</v>
          </cell>
          <cell r="L513">
            <v>12.0649</v>
          </cell>
          <cell r="M513">
            <v>3.06</v>
          </cell>
          <cell r="N513">
            <v>31.949300000000001</v>
          </cell>
          <cell r="O513">
            <v>0</v>
          </cell>
          <cell r="R513">
            <v>0</v>
          </cell>
          <cell r="S513">
            <v>0</v>
          </cell>
          <cell r="T513">
            <v>0</v>
          </cell>
        </row>
        <row r="514">
          <cell r="A514" t="str">
            <v>SchoolSecondaryConditioned Total</v>
          </cell>
          <cell r="B514" t="str">
            <v>STD2004</v>
          </cell>
          <cell r="C514" t="str">
            <v>Buffalo</v>
          </cell>
          <cell r="D514" t="str">
            <v>SchoolSecondary</v>
          </cell>
          <cell r="E514" t="str">
            <v>Conditioned Total</v>
          </cell>
          <cell r="F514">
            <v>19592</v>
          </cell>
          <cell r="J514">
            <v>5968</v>
          </cell>
          <cell r="K514">
            <v>2088.8000000000002</v>
          </cell>
          <cell r="L514">
            <v>12.0649</v>
          </cell>
          <cell r="M514">
            <v>3.06</v>
          </cell>
          <cell r="N514">
            <v>31.949300000000001</v>
          </cell>
          <cell r="O514">
            <v>0</v>
          </cell>
          <cell r="R514">
            <v>0</v>
          </cell>
          <cell r="S514">
            <v>0</v>
          </cell>
          <cell r="T514">
            <v>0</v>
          </cell>
        </row>
        <row r="515">
          <cell r="A515" t="str">
            <v>SchoolSecondaryUnconditioned Total</v>
          </cell>
          <cell r="B515" t="str">
            <v>STD2004</v>
          </cell>
          <cell r="C515" t="str">
            <v>Buffalo</v>
          </cell>
          <cell r="D515" t="str">
            <v>SchoolSecondary</v>
          </cell>
          <cell r="E515" t="str">
            <v>Unconditioned Total</v>
          </cell>
          <cell r="F515">
            <v>0</v>
          </cell>
          <cell r="J515">
            <v>0</v>
          </cell>
          <cell r="K515">
            <v>0</v>
          </cell>
          <cell r="O515">
            <v>0</v>
          </cell>
          <cell r="R515">
            <v>0</v>
          </cell>
          <cell r="S515">
            <v>0</v>
          </cell>
          <cell r="T515">
            <v>0</v>
          </cell>
        </row>
        <row r="516">
          <cell r="A516" t="str">
            <v>SchoolSecondaryNot Part of Total</v>
          </cell>
          <cell r="B516" t="str">
            <v>STD2004</v>
          </cell>
          <cell r="C516" t="str">
            <v>Buffalo</v>
          </cell>
          <cell r="D516" t="str">
            <v>SchoolSecondary</v>
          </cell>
          <cell r="E516" t="str">
            <v>Not Part of Total</v>
          </cell>
          <cell r="F516">
            <v>0</v>
          </cell>
          <cell r="J516">
            <v>0</v>
          </cell>
          <cell r="K516">
            <v>0</v>
          </cell>
          <cell r="O516">
            <v>0</v>
          </cell>
          <cell r="R516">
            <v>0</v>
          </cell>
          <cell r="S516">
            <v>0</v>
          </cell>
          <cell r="T516">
            <v>0</v>
          </cell>
        </row>
        <row r="517">
          <cell r="A517" t="str">
            <v>WarehouseZONE1 OFFICE</v>
          </cell>
          <cell r="B517" t="str">
            <v>STD2004</v>
          </cell>
          <cell r="C517" t="str">
            <v>Buffalo</v>
          </cell>
          <cell r="D517" t="str">
            <v>Warehouse</v>
          </cell>
          <cell r="E517" t="str">
            <v>ZONE1 OFFICE</v>
          </cell>
          <cell r="F517">
            <v>236.88</v>
          </cell>
          <cell r="G517">
            <v>1</v>
          </cell>
          <cell r="H517" t="str">
            <v>Yes</v>
          </cell>
          <cell r="I517" t="str">
            <v>PSZ-OFFICE</v>
          </cell>
          <cell r="J517">
            <v>149.56</v>
          </cell>
          <cell r="K517">
            <v>17.66</v>
          </cell>
          <cell r="L517">
            <v>10.7186</v>
          </cell>
          <cell r="M517">
            <v>18.579999999999998</v>
          </cell>
          <cell r="N517">
            <v>8.0737000000000005</v>
          </cell>
          <cell r="O517">
            <v>0</v>
          </cell>
          <cell r="P517">
            <v>0.1203</v>
          </cell>
          <cell r="R517">
            <v>1.0252300508275299E-3</v>
          </cell>
          <cell r="S517">
            <v>0</v>
          </cell>
          <cell r="T517">
            <v>0.28883156399999999</v>
          </cell>
        </row>
        <row r="518">
          <cell r="A518" t="str">
            <v>WarehouseZONE2 FINE STORAGE</v>
          </cell>
          <cell r="B518" t="str">
            <v>STD2004</v>
          </cell>
          <cell r="C518" t="str">
            <v>Buffalo</v>
          </cell>
          <cell r="D518" t="str">
            <v>Warehouse</v>
          </cell>
          <cell r="E518" t="str">
            <v>ZONE2 FINE STORAGE</v>
          </cell>
          <cell r="F518">
            <v>1393.41</v>
          </cell>
          <cell r="G518">
            <v>1</v>
          </cell>
          <cell r="H518" t="str">
            <v>Yes</v>
          </cell>
          <cell r="I518" t="str">
            <v>PSZ-FINE STORAGE</v>
          </cell>
          <cell r="J518">
            <v>760.8</v>
          </cell>
          <cell r="K518">
            <v>0</v>
          </cell>
          <cell r="L518">
            <v>15.0695</v>
          </cell>
          <cell r="M518">
            <v>46.45</v>
          </cell>
          <cell r="N518">
            <v>0</v>
          </cell>
          <cell r="O518">
            <v>0</v>
          </cell>
          <cell r="P518">
            <v>0.35389999999999999</v>
          </cell>
          <cell r="R518">
            <v>1.0252300508275299E-3</v>
          </cell>
          <cell r="S518">
            <v>0</v>
          </cell>
          <cell r="T518">
            <v>0</v>
          </cell>
        </row>
        <row r="519">
          <cell r="A519" t="str">
            <v>WarehouseZONE3 BULK STORAGE</v>
          </cell>
          <cell r="B519" t="str">
            <v>STD2004</v>
          </cell>
          <cell r="C519" t="str">
            <v>Buffalo</v>
          </cell>
          <cell r="D519" t="str">
            <v>Warehouse</v>
          </cell>
          <cell r="E519" t="str">
            <v>ZONE3 BULK STORAGE</v>
          </cell>
          <cell r="F519">
            <v>3204.84</v>
          </cell>
          <cell r="G519">
            <v>1</v>
          </cell>
          <cell r="H519" t="str">
            <v>Yes</v>
          </cell>
          <cell r="I519" t="str">
            <v>Zone3 Bulk Storage Unit Heater</v>
          </cell>
          <cell r="J519">
            <v>1586.63</v>
          </cell>
          <cell r="K519">
            <v>0</v>
          </cell>
          <cell r="L519">
            <v>9.6875</v>
          </cell>
          <cell r="M519">
            <v>46.45</v>
          </cell>
          <cell r="N519">
            <v>2.5587</v>
          </cell>
          <cell r="O519">
            <v>0</v>
          </cell>
          <cell r="R519">
            <v>2.1635296535870399E-3</v>
          </cell>
          <cell r="S519">
            <v>0</v>
          </cell>
          <cell r="T519">
            <v>0</v>
          </cell>
        </row>
        <row r="520">
          <cell r="A520" t="str">
            <v>WarehouseTotal</v>
          </cell>
          <cell r="B520" t="str">
            <v>STD2004</v>
          </cell>
          <cell r="C520" t="str">
            <v>Buffalo</v>
          </cell>
          <cell r="D520" t="str">
            <v>Warehouse</v>
          </cell>
          <cell r="E520" t="str">
            <v>Total</v>
          </cell>
          <cell r="F520">
            <v>4835.13</v>
          </cell>
          <cell r="J520">
            <v>2496.9899999999998</v>
          </cell>
          <cell r="K520">
            <v>17.66</v>
          </cell>
          <cell r="L520">
            <v>11.289</v>
          </cell>
          <cell r="M520">
            <v>43.27</v>
          </cell>
          <cell r="N520">
            <v>2.0914999999999999</v>
          </cell>
          <cell r="O520">
            <v>0</v>
          </cell>
          <cell r="R520">
            <v>0</v>
          </cell>
          <cell r="S520">
            <v>0</v>
          </cell>
          <cell r="T520">
            <v>0</v>
          </cell>
        </row>
        <row r="521">
          <cell r="A521" t="str">
            <v>WarehouseConditioned Total</v>
          </cell>
          <cell r="B521" t="str">
            <v>STD2004</v>
          </cell>
          <cell r="C521" t="str">
            <v>Buffalo</v>
          </cell>
          <cell r="D521" t="str">
            <v>Warehouse</v>
          </cell>
          <cell r="E521" t="str">
            <v>Conditioned Total</v>
          </cell>
          <cell r="F521">
            <v>4835.13</v>
          </cell>
          <cell r="J521">
            <v>2496.9899999999998</v>
          </cell>
          <cell r="K521">
            <v>17.66</v>
          </cell>
          <cell r="L521">
            <v>11.289</v>
          </cell>
          <cell r="M521">
            <v>43.27</v>
          </cell>
          <cell r="N521">
            <v>2.0914999999999999</v>
          </cell>
          <cell r="O521">
            <v>0</v>
          </cell>
          <cell r="R521">
            <v>0</v>
          </cell>
          <cell r="S521">
            <v>0</v>
          </cell>
          <cell r="T521">
            <v>0</v>
          </cell>
        </row>
        <row r="522">
          <cell r="A522" t="str">
            <v>WarehouseUnconditioned Total</v>
          </cell>
          <cell r="B522" t="str">
            <v>STD2004</v>
          </cell>
          <cell r="C522" t="str">
            <v>Buffalo</v>
          </cell>
          <cell r="D522" t="str">
            <v>Warehouse</v>
          </cell>
          <cell r="E522" t="str">
            <v>Unconditioned Total</v>
          </cell>
          <cell r="F522">
            <v>0</v>
          </cell>
          <cell r="J522">
            <v>0</v>
          </cell>
          <cell r="K522">
            <v>0</v>
          </cell>
          <cell r="O522">
            <v>0</v>
          </cell>
          <cell r="R522">
            <v>0</v>
          </cell>
          <cell r="S522">
            <v>0</v>
          </cell>
          <cell r="T522">
            <v>0</v>
          </cell>
        </row>
        <row r="523">
          <cell r="A523" t="str">
            <v>WarehouseNot Part of Total</v>
          </cell>
          <cell r="B523" t="str">
            <v>STD2004</v>
          </cell>
          <cell r="C523" t="str">
            <v>Buffalo</v>
          </cell>
          <cell r="D523" t="str">
            <v>Warehouse</v>
          </cell>
          <cell r="E523" t="str">
            <v>Not Part of Total</v>
          </cell>
          <cell r="F523">
            <v>0</v>
          </cell>
          <cell r="J523">
            <v>0</v>
          </cell>
          <cell r="K523">
            <v>0</v>
          </cell>
          <cell r="O523">
            <v>0</v>
          </cell>
          <cell r="R523">
            <v>0</v>
          </cell>
          <cell r="S523">
            <v>0</v>
          </cell>
          <cell r="T52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B5C5-7660-49FC-9DC3-C45CEA3843D3}">
  <dimension ref="A1:AB112"/>
  <sheetViews>
    <sheetView tabSelected="1" topLeftCell="C112" zoomScale="190" zoomScaleNormal="190" workbookViewId="0">
      <selection activeCell="F12" sqref="F12"/>
    </sheetView>
  </sheetViews>
  <sheetFormatPr defaultColWidth="24" defaultRowHeight="16.5" x14ac:dyDescent="0.3"/>
  <cols>
    <col min="1" max="2" width="24" style="2"/>
    <col min="3" max="3" width="24" style="3"/>
    <col min="4" max="16384" width="24" style="4"/>
  </cols>
  <sheetData>
    <row r="1" spans="1:7" x14ac:dyDescent="0.3">
      <c r="A1" s="1" t="s">
        <v>0</v>
      </c>
    </row>
    <row r="2" spans="1:7" x14ac:dyDescent="0.3">
      <c r="A2" s="39" t="s">
        <v>1</v>
      </c>
      <c r="B2" s="40"/>
      <c r="C2" s="4"/>
    </row>
    <row r="3" spans="1:7" x14ac:dyDescent="0.3">
      <c r="A3" s="5" t="s">
        <v>2</v>
      </c>
      <c r="B3" s="5"/>
      <c r="C3" s="6"/>
    </row>
    <row r="4" spans="1:7" x14ac:dyDescent="0.3">
      <c r="A4" s="41" t="s">
        <v>3</v>
      </c>
      <c r="B4" s="42"/>
      <c r="C4" s="7" t="s">
        <v>4</v>
      </c>
    </row>
    <row r="5" spans="1:7" x14ac:dyDescent="0.3">
      <c r="A5" s="5" t="s">
        <v>5</v>
      </c>
      <c r="B5" s="5"/>
      <c r="C5" s="6"/>
    </row>
    <row r="6" spans="1:7" x14ac:dyDescent="0.3">
      <c r="A6" s="41" t="s">
        <v>6</v>
      </c>
      <c r="B6" s="42"/>
      <c r="C6" s="8"/>
    </row>
    <row r="7" spans="1:7" x14ac:dyDescent="0.3">
      <c r="A7" s="41" t="s">
        <v>7</v>
      </c>
      <c r="B7" s="42"/>
      <c r="C7" s="9">
        <v>3</v>
      </c>
    </row>
    <row r="8" spans="1:7" x14ac:dyDescent="0.3">
      <c r="A8" s="41" t="s">
        <v>8</v>
      </c>
      <c r="B8" s="42"/>
      <c r="C8" s="10">
        <v>0.33</v>
      </c>
    </row>
    <row r="9" spans="1:7" x14ac:dyDescent="0.3">
      <c r="A9" s="5" t="s">
        <v>9</v>
      </c>
      <c r="B9" s="5"/>
      <c r="C9" s="11"/>
    </row>
    <row r="10" spans="1:7" ht="38.25" x14ac:dyDescent="0.3">
      <c r="A10" s="37" t="s">
        <v>10</v>
      </c>
      <c r="B10" s="12" t="s">
        <v>11</v>
      </c>
      <c r="C10" s="9" t="s">
        <v>12</v>
      </c>
    </row>
    <row r="11" spans="1:7" ht="25.5" x14ac:dyDescent="0.3">
      <c r="A11" s="38"/>
      <c r="B11" s="12" t="s">
        <v>13</v>
      </c>
      <c r="C11" s="9" t="s">
        <v>14</v>
      </c>
    </row>
    <row r="12" spans="1:7" ht="38.25" x14ac:dyDescent="0.3">
      <c r="A12" s="37" t="s">
        <v>15</v>
      </c>
      <c r="B12" s="12" t="s">
        <v>16</v>
      </c>
      <c r="C12" s="9" t="s">
        <v>17</v>
      </c>
    </row>
    <row r="13" spans="1:7" ht="25.5" x14ac:dyDescent="0.3">
      <c r="A13" s="38"/>
      <c r="B13" s="12" t="s">
        <v>13</v>
      </c>
      <c r="C13" s="9" t="s">
        <v>14</v>
      </c>
    </row>
    <row r="15" spans="1:7" x14ac:dyDescent="0.3">
      <c r="A15" s="1" t="s">
        <v>18</v>
      </c>
    </row>
    <row r="16" spans="1:7" ht="28.5" x14ac:dyDescent="0.3">
      <c r="A16" s="13" t="s">
        <v>19</v>
      </c>
      <c r="B16" s="13" t="s">
        <v>20</v>
      </c>
      <c r="C16" s="13" t="s">
        <v>21</v>
      </c>
      <c r="D16" s="13" t="s">
        <v>22</v>
      </c>
      <c r="E16" s="13" t="s">
        <v>23</v>
      </c>
      <c r="F16" s="13" t="s">
        <v>24</v>
      </c>
      <c r="G16" s="13" t="s">
        <v>25</v>
      </c>
    </row>
    <row r="17" spans="1:23" ht="42.75" x14ac:dyDescent="0.3">
      <c r="A17" s="14">
        <v>1</v>
      </c>
      <c r="B17" s="14" t="s">
        <v>26</v>
      </c>
      <c r="C17" s="14" t="s">
        <v>27</v>
      </c>
      <c r="D17" s="14" t="s">
        <v>28</v>
      </c>
      <c r="E17" s="14" t="s">
        <v>29</v>
      </c>
      <c r="F17" s="14" t="s">
        <v>30</v>
      </c>
      <c r="G17" s="14" t="s">
        <v>221</v>
      </c>
    </row>
    <row r="18" spans="1:23" ht="28.5" x14ac:dyDescent="0.3">
      <c r="A18" s="1" t="s">
        <v>31</v>
      </c>
    </row>
    <row r="19" spans="1:23" ht="28.5" x14ac:dyDescent="0.3">
      <c r="A19" s="44" t="s">
        <v>32</v>
      </c>
      <c r="B19" s="43" t="s">
        <v>33</v>
      </c>
      <c r="C19" s="44" t="s">
        <v>21</v>
      </c>
      <c r="D19" s="44" t="s">
        <v>34</v>
      </c>
      <c r="E19" s="44" t="s">
        <v>35</v>
      </c>
      <c r="F19" s="43" t="s">
        <v>36</v>
      </c>
      <c r="G19" s="43" t="s">
        <v>37</v>
      </c>
      <c r="H19" s="43" t="s">
        <v>38</v>
      </c>
      <c r="I19" s="44" t="s">
        <v>39</v>
      </c>
      <c r="J19" s="44" t="s">
        <v>40</v>
      </c>
      <c r="K19" s="43" t="s">
        <v>41</v>
      </c>
      <c r="L19" s="43" t="s">
        <v>42</v>
      </c>
      <c r="M19" s="16" t="s">
        <v>43</v>
      </c>
      <c r="N19" s="44" t="s">
        <v>44</v>
      </c>
      <c r="O19" s="43" t="s">
        <v>45</v>
      </c>
      <c r="P19" s="43" t="s">
        <v>46</v>
      </c>
      <c r="Q19" s="43" t="s">
        <v>47</v>
      </c>
      <c r="R19" s="43"/>
      <c r="S19" s="43"/>
      <c r="T19" s="44" t="s">
        <v>48</v>
      </c>
      <c r="U19" s="43" t="s">
        <v>49</v>
      </c>
      <c r="V19" s="43" t="s">
        <v>50</v>
      </c>
      <c r="W19" s="44" t="s">
        <v>51</v>
      </c>
    </row>
    <row r="20" spans="1:23" ht="28.5" x14ac:dyDescent="0.3">
      <c r="A20" s="44"/>
      <c r="B20" s="43"/>
      <c r="C20" s="44"/>
      <c r="D20" s="44"/>
      <c r="E20" s="44"/>
      <c r="F20" s="43"/>
      <c r="G20" s="43"/>
      <c r="H20" s="43"/>
      <c r="I20" s="44"/>
      <c r="J20" s="44"/>
      <c r="K20" s="43"/>
      <c r="L20" s="43"/>
      <c r="M20" s="15" t="s">
        <v>52</v>
      </c>
      <c r="N20" s="44"/>
      <c r="O20" s="43"/>
      <c r="P20" s="43"/>
      <c r="Q20" s="15" t="s">
        <v>53</v>
      </c>
      <c r="R20" s="15" t="s">
        <v>54</v>
      </c>
      <c r="S20" s="15" t="s">
        <v>55</v>
      </c>
      <c r="T20" s="44"/>
      <c r="U20" s="43"/>
      <c r="V20" s="43"/>
      <c r="W20" s="44"/>
    </row>
    <row r="21" spans="1:23" x14ac:dyDescent="0.3">
      <c r="A21" s="17" t="s">
        <v>4</v>
      </c>
      <c r="B21" s="18"/>
      <c r="C21" s="19"/>
      <c r="D21" s="19"/>
      <c r="E21" s="19"/>
      <c r="F21" s="19"/>
      <c r="G21" s="18"/>
      <c r="H21" s="19"/>
      <c r="I21" s="19"/>
      <c r="J21" s="19"/>
      <c r="K21" s="20"/>
      <c r="L21" s="20"/>
      <c r="M21" s="19"/>
      <c r="N21" s="19"/>
      <c r="O21" s="19"/>
      <c r="P21" s="19"/>
      <c r="Q21" s="19"/>
      <c r="R21" s="19"/>
      <c r="S21" s="19"/>
      <c r="T21" s="19"/>
      <c r="U21" s="21"/>
      <c r="V21" s="19"/>
      <c r="W21" s="19"/>
    </row>
    <row r="22" spans="1:23" ht="42.75" x14ac:dyDescent="0.3">
      <c r="A22" s="22" t="s">
        <v>4</v>
      </c>
      <c r="B22" s="23" t="s">
        <v>56</v>
      </c>
      <c r="C22" s="24" t="s">
        <v>57</v>
      </c>
      <c r="D22" s="25">
        <f>VLOOKUP(B22&amp;C22,[2]raw_data!A:T,6,0)*10.7639</f>
        <v>10586.726205999999</v>
      </c>
      <c r="E22" s="22">
        <f>VLOOKUP(B22&amp;C22,[2]raw_data!A:T,7,0)</f>
        <v>1</v>
      </c>
      <c r="F22" s="22" t="str">
        <f>VLOOKUP(B22&amp;C22,[2]raw_data!A:T,8,0)</f>
        <v>Yes</v>
      </c>
      <c r="G22" s="23" t="s">
        <v>58</v>
      </c>
      <c r="H22" s="22" t="str">
        <f>IF(VLOOKUP(B22&amp;C22,[2]raw_data!A:T,9,0)=0,"",VLOOKUP(B22&amp;C22,[2]raw_data!A:T,9,0))</f>
        <v>PACU_VAV_BOT</v>
      </c>
      <c r="I22" s="25">
        <f>VLOOKUP(B22&amp;C22,[2]raw_data!A:T,10,0)*10.7639</f>
        <v>0</v>
      </c>
      <c r="J22" s="25">
        <f>VLOOKUP(B22&amp;C22,[2]raw_data!A:T,11,0)*10.7639</f>
        <v>0</v>
      </c>
      <c r="K22" s="26" t="s">
        <v>59</v>
      </c>
      <c r="L22" s="26" t="s">
        <v>60</v>
      </c>
      <c r="M22" s="25">
        <f>VLOOKUP(B22&amp;C22,[2]raw_data!A:T,12,0)*0.092903</f>
        <v>1.0244135101</v>
      </c>
      <c r="N22" s="25">
        <f>IF((VLOOKUP(B22&amp;C22,[2]raw_data!A:T,13,0))=0,0,1000/(VLOOKUP(B22&amp;C22,[2]raw_data!A:T,13,0)*10.7639))</f>
        <v>5.0001684556752721</v>
      </c>
      <c r="O22" s="25">
        <f>VLOOKUP(B22&amp;C22,[2]raw_data!A:T,14,0)*0.092903</f>
        <v>2.3259752497999999</v>
      </c>
      <c r="P22" s="25">
        <f>VLOOKUP(B22&amp;C22,[2]raw_data!A:T,15,0)*0.092903/D22</f>
        <v>0</v>
      </c>
      <c r="Q22" s="25">
        <v>20</v>
      </c>
      <c r="R22" s="25">
        <v>0</v>
      </c>
      <c r="S22" s="25">
        <v>0</v>
      </c>
      <c r="T22" s="25">
        <f>VLOOKUP(B22&amp;C22,[2]raw_data!A:T,17,0)*2118.88/D22</f>
        <v>0</v>
      </c>
      <c r="U22" s="25">
        <f>VLOOKUP(B22&amp;C22,[2]raw_data!A:T,18,0)*2118.88/10.7639</f>
        <v>0</v>
      </c>
      <c r="V22" s="25">
        <f>VLOOKUP(B22&amp;C22,[2]raw_data!A:T,19,0)*2118.88</f>
        <v>0</v>
      </c>
      <c r="W22" s="25">
        <f>VLOOKUP(B22&amp;C22,[2]raw_data!A:T,20,0)*2118.88</f>
        <v>0</v>
      </c>
    </row>
    <row r="23" spans="1:23" x14ac:dyDescent="0.3">
      <c r="A23" s="22" t="s">
        <v>4</v>
      </c>
      <c r="B23" s="23" t="s">
        <v>56</v>
      </c>
      <c r="C23" s="24" t="s">
        <v>61</v>
      </c>
      <c r="D23" s="25">
        <f>VLOOKUP(B23&amp;C23,[2]raw_data!A:T,6,0)*10.7639</f>
        <v>17875.931647000001</v>
      </c>
      <c r="E23" s="22">
        <f>VLOOKUP(B23&amp;C23,[2]raw_data!A:T,7,0)</f>
        <v>1</v>
      </c>
      <c r="F23" s="22" t="str">
        <f>VLOOKUP(B23&amp;C23,[2]raw_data!A:T,8,0)</f>
        <v>Yes</v>
      </c>
      <c r="G23" s="23" t="s">
        <v>62</v>
      </c>
      <c r="H23" s="22" t="str">
        <f>IF(VLOOKUP(B23&amp;C23,[2]raw_data!A:T,9,0)=0,"",VLOOKUP(B23&amp;C23,[2]raw_data!A:T,9,0))</f>
        <v/>
      </c>
      <c r="I23" s="25">
        <f>VLOOKUP(B23&amp;C23,[2]raw_data!A:T,10,0)*10.7639</f>
        <v>2183.3494759999999</v>
      </c>
      <c r="J23" s="25">
        <f>VLOOKUP(B23&amp;C23,[2]raw_data!A:T,11,0)*10.7639</f>
        <v>0</v>
      </c>
      <c r="K23" s="26"/>
      <c r="L23" s="26"/>
      <c r="M23" s="25">
        <f>VLOOKUP(B23&amp;C23,[2]raw_data!A:T,12,0)*0.092903</f>
        <v>0</v>
      </c>
      <c r="N23" s="25">
        <f>IF((VLOOKUP(B23&amp;C23,[2]raw_data!A:T,13,0))=0,0,1000/(VLOOKUP(B23&amp;C23,[2]raw_data!A:T,13,0)*10.7639))</f>
        <v>0</v>
      </c>
      <c r="O23" s="25">
        <f>VLOOKUP(B23&amp;C23,[2]raw_data!A:T,14,0)*0.092903</f>
        <v>0</v>
      </c>
      <c r="P23" s="25">
        <f>VLOOKUP(B23&amp;C23,[2]raw_data!A:T,15,0)*0.092903/D23</f>
        <v>0</v>
      </c>
      <c r="Q23" s="25"/>
      <c r="R23" s="25"/>
      <c r="S23" s="25"/>
      <c r="T23" s="25">
        <f>VLOOKUP(B23&amp;C23,[2]raw_data!A:T,17,0)*2118.88/D23</f>
        <v>0</v>
      </c>
      <c r="U23" s="25">
        <f>VLOOKUP(B23&amp;C23,[2]raw_data!A:T,18,0)*2118.88/10.7639</f>
        <v>0.20181713413330082</v>
      </c>
      <c r="V23" s="25">
        <f>VLOOKUP(B23&amp;C23,[2]raw_data!A:T,19,0)*2118.88</f>
        <v>0</v>
      </c>
      <c r="W23" s="25">
        <f>VLOOKUP(B23&amp;C23,[2]raw_data!A:T,20,0)*2118.88</f>
        <v>0</v>
      </c>
    </row>
    <row r="24" spans="1:23" x14ac:dyDescent="0.3">
      <c r="A24" s="22" t="s">
        <v>4</v>
      </c>
      <c r="B24" s="23" t="s">
        <v>56</v>
      </c>
      <c r="C24" s="24" t="s">
        <v>63</v>
      </c>
      <c r="D24" s="25">
        <f>VLOOKUP(B24&amp;C24,[2]raw_data!A:T,6,0)*10.7639</f>
        <v>17875.931647000001</v>
      </c>
      <c r="E24" s="22">
        <f>VLOOKUP(B24&amp;C24,[2]raw_data!A:T,7,0)</f>
        <v>1</v>
      </c>
      <c r="F24" s="22" t="str">
        <f>VLOOKUP(B24&amp;C24,[2]raw_data!A:T,8,0)</f>
        <v>Yes</v>
      </c>
      <c r="G24" s="23" t="s">
        <v>62</v>
      </c>
      <c r="H24" s="22" t="str">
        <f>IF(VLOOKUP(B24&amp;C24,[2]raw_data!A:T,9,0)=0,"",VLOOKUP(B24&amp;C24,[2]raw_data!A:T,9,0))</f>
        <v/>
      </c>
      <c r="I24" s="25">
        <f>VLOOKUP(B24&amp;C24,[2]raw_data!A:T,10,0)*10.7639</f>
        <v>2183.3494759999999</v>
      </c>
      <c r="J24" s="25">
        <f>VLOOKUP(B24&amp;C24,[2]raw_data!A:T,11,0)*10.7639</f>
        <v>0</v>
      </c>
      <c r="K24" s="26"/>
      <c r="L24" s="26"/>
      <c r="M24" s="25">
        <f>VLOOKUP(B24&amp;C24,[2]raw_data!A:T,12,0)*0.092903</f>
        <v>0</v>
      </c>
      <c r="N24" s="25">
        <f>IF((VLOOKUP(B24&amp;C24,[2]raw_data!A:T,13,0))=0,0,1000/(VLOOKUP(B24&amp;C24,[2]raw_data!A:T,13,0)*10.7639))</f>
        <v>0</v>
      </c>
      <c r="O24" s="25">
        <f>VLOOKUP(B24&amp;C24,[2]raw_data!A:T,14,0)*0.092903</f>
        <v>0</v>
      </c>
      <c r="P24" s="25">
        <f>VLOOKUP(B24&amp;C24,[2]raw_data!A:T,15,0)*0.092903/D24</f>
        <v>0</v>
      </c>
      <c r="Q24" s="25"/>
      <c r="R24" s="25"/>
      <c r="S24" s="25"/>
      <c r="T24" s="25">
        <f>VLOOKUP(B24&amp;C24,[2]raw_data!A:T,17,0)*2118.88/D24</f>
        <v>0</v>
      </c>
      <c r="U24" s="25">
        <f>VLOOKUP(B24&amp;C24,[2]raw_data!A:T,18,0)*2118.88/10.7639</f>
        <v>0.20181713413330082</v>
      </c>
      <c r="V24" s="25">
        <f>VLOOKUP(B24&amp;C24,[2]raw_data!A:T,19,0)*2118.88</f>
        <v>0</v>
      </c>
      <c r="W24" s="25">
        <f>VLOOKUP(B24&amp;C24,[2]raw_data!A:T,20,0)*2118.88</f>
        <v>0</v>
      </c>
    </row>
    <row r="25" spans="1:23" x14ac:dyDescent="0.3">
      <c r="A25" s="22" t="s">
        <v>4</v>
      </c>
      <c r="B25" s="23" t="s">
        <v>56</v>
      </c>
      <c r="C25" s="24" t="s">
        <v>64</v>
      </c>
      <c r="D25" s="25">
        <f>VLOOKUP(B25&amp;C25,[2]raw_data!A:T,6,0)*10.7639</f>
        <v>17875.931647000001</v>
      </c>
      <c r="E25" s="22">
        <f>VLOOKUP(B25&amp;C25,[2]raw_data!A:T,7,0)</f>
        <v>1</v>
      </c>
      <c r="F25" s="22" t="str">
        <f>VLOOKUP(B25&amp;C25,[2]raw_data!A:T,8,0)</f>
        <v>Yes</v>
      </c>
      <c r="G25" s="23" t="s">
        <v>62</v>
      </c>
      <c r="H25" s="22" t="str">
        <f>IF(VLOOKUP(B25&amp;C25,[2]raw_data!A:T,9,0)=0,"",VLOOKUP(B25&amp;C25,[2]raw_data!A:T,9,0))</f>
        <v/>
      </c>
      <c r="I25" s="25">
        <f>VLOOKUP(B25&amp;C25,[2]raw_data!A:T,10,0)*10.7639</f>
        <v>2183.3494759999999</v>
      </c>
      <c r="J25" s="25">
        <f>VLOOKUP(B25&amp;C25,[2]raw_data!A:T,11,0)*10.7639</f>
        <v>0</v>
      </c>
      <c r="K25" s="26"/>
      <c r="L25" s="26"/>
      <c r="M25" s="25">
        <f>VLOOKUP(B25&amp;C25,[2]raw_data!A:T,12,0)*0.092903</f>
        <v>0</v>
      </c>
      <c r="N25" s="25">
        <f>IF((VLOOKUP(B25&amp;C25,[2]raw_data!A:T,13,0))=0,0,1000/(VLOOKUP(B25&amp;C25,[2]raw_data!A:T,13,0)*10.7639))</f>
        <v>0</v>
      </c>
      <c r="O25" s="25">
        <f>VLOOKUP(B25&amp;C25,[2]raw_data!A:T,14,0)*0.092903</f>
        <v>0</v>
      </c>
      <c r="P25" s="25">
        <f>VLOOKUP(B25&amp;C25,[2]raw_data!A:T,15,0)*0.092903/D25</f>
        <v>0</v>
      </c>
      <c r="Q25" s="25"/>
      <c r="R25" s="25"/>
      <c r="S25" s="25"/>
      <c r="T25" s="25">
        <f>VLOOKUP(B25&amp;C25,[2]raw_data!A:T,17,0)*2118.88/D25</f>
        <v>0</v>
      </c>
      <c r="U25" s="25">
        <f>VLOOKUP(B25&amp;C25,[2]raw_data!A:T,18,0)*2118.88/10.7639</f>
        <v>0.20181713413330082</v>
      </c>
      <c r="V25" s="25">
        <f>VLOOKUP(B25&amp;C25,[2]raw_data!A:T,19,0)*2118.88</f>
        <v>0</v>
      </c>
      <c r="W25" s="25">
        <f>VLOOKUP(B25&amp;C25,[2]raw_data!A:T,20,0)*2118.88</f>
        <v>0</v>
      </c>
    </row>
    <row r="26" spans="1:23" ht="42.75" x14ac:dyDescent="0.3">
      <c r="A26" s="22" t="s">
        <v>4</v>
      </c>
      <c r="B26" s="23" t="s">
        <v>56</v>
      </c>
      <c r="C26" s="24" t="s">
        <v>65</v>
      </c>
      <c r="D26" s="25">
        <f>VLOOKUP(B26&amp;C26,[2]raw_data!A:T,6,0)*10.7639</f>
        <v>10586.726205999999</v>
      </c>
      <c r="E26" s="22">
        <f>VLOOKUP(B26&amp;C26,[2]raw_data!A:T,7,0)</f>
        <v>1</v>
      </c>
      <c r="F26" s="22" t="str">
        <f>VLOOKUP(B26&amp;C26,[2]raw_data!A:T,8,0)</f>
        <v>Yes</v>
      </c>
      <c r="G26" s="23" t="s">
        <v>58</v>
      </c>
      <c r="H26" s="22" t="str">
        <f>IF(VLOOKUP(B26&amp;C26,[2]raw_data!A:T,9,0)=0,"",VLOOKUP(B26&amp;C26,[2]raw_data!A:T,9,0))</f>
        <v>PACU_VAV_MID</v>
      </c>
      <c r="I26" s="25">
        <f>VLOOKUP(B26&amp;C26,[2]raw_data!A:T,10,0)*10.7639</f>
        <v>0</v>
      </c>
      <c r="J26" s="25">
        <f>VLOOKUP(B26&amp;C26,[2]raw_data!A:T,11,0)*10.7639</f>
        <v>0</v>
      </c>
      <c r="K26" s="26" t="s">
        <v>59</v>
      </c>
      <c r="L26" s="26" t="s">
        <v>60</v>
      </c>
      <c r="M26" s="25">
        <f>VLOOKUP(B26&amp;C26,[2]raw_data!A:T,12,0)*0.092903</f>
        <v>1.0244135101</v>
      </c>
      <c r="N26" s="25">
        <f>IF((VLOOKUP(B26&amp;C26,[2]raw_data!A:T,13,0))=0,0,1000/(VLOOKUP(B26&amp;C26,[2]raw_data!A:T,13,0)*10.7639))</f>
        <v>5.0001684556752721</v>
      </c>
      <c r="O26" s="25">
        <f>VLOOKUP(B26&amp;C26,[2]raw_data!A:T,14,0)*0.092903</f>
        <v>0.74972720999999998</v>
      </c>
      <c r="P26" s="25">
        <f>VLOOKUP(B26&amp;C26,[2]raw_data!A:T,15,0)*0.092903/D26</f>
        <v>0</v>
      </c>
      <c r="Q26" s="25">
        <v>20</v>
      </c>
      <c r="R26" s="25">
        <v>0</v>
      </c>
      <c r="S26" s="25">
        <v>0</v>
      </c>
      <c r="T26" s="25">
        <f>VLOOKUP(B26&amp;C26,[2]raw_data!A:T,17,0)*2118.88/D26</f>
        <v>0</v>
      </c>
      <c r="U26" s="25">
        <f>VLOOKUP(B26&amp;C26,[2]raw_data!A:T,18,0)*2118.88/10.7639</f>
        <v>0</v>
      </c>
      <c r="V26" s="25">
        <f>VLOOKUP(B26&amp;C26,[2]raw_data!A:T,19,0)*2118.88</f>
        <v>0</v>
      </c>
      <c r="W26" s="25">
        <f>VLOOKUP(B26&amp;C26,[2]raw_data!A:T,20,0)*2118.88</f>
        <v>0</v>
      </c>
    </row>
    <row r="27" spans="1:23" ht="42.75" x14ac:dyDescent="0.3">
      <c r="A27" s="22" t="s">
        <v>4</v>
      </c>
      <c r="B27" s="23" t="s">
        <v>56</v>
      </c>
      <c r="C27" s="24" t="s">
        <v>66</v>
      </c>
      <c r="D27" s="25">
        <f>VLOOKUP(B27&amp;C27,[2]raw_data!A:T,6,0)*10.7639</f>
        <v>10586.726205999999</v>
      </c>
      <c r="E27" s="22">
        <f>VLOOKUP(B27&amp;C27,[2]raw_data!A:T,7,0)</f>
        <v>1</v>
      </c>
      <c r="F27" s="22" t="str">
        <f>VLOOKUP(B27&amp;C27,[2]raw_data!A:T,8,0)</f>
        <v>Yes</v>
      </c>
      <c r="G27" s="23" t="s">
        <v>58</v>
      </c>
      <c r="H27" s="22" t="str">
        <f>IF(VLOOKUP(B27&amp;C27,[2]raw_data!A:T,9,0)=0,"",VLOOKUP(B27&amp;C27,[2]raw_data!A:T,9,0))</f>
        <v>PACU_VAV_TOP</v>
      </c>
      <c r="I27" s="25">
        <f>VLOOKUP(B27&amp;C27,[2]raw_data!A:T,10,0)*10.7639</f>
        <v>0</v>
      </c>
      <c r="J27" s="25">
        <f>VLOOKUP(B27&amp;C27,[2]raw_data!A:T,11,0)*10.7639</f>
        <v>0</v>
      </c>
      <c r="K27" s="26" t="s">
        <v>59</v>
      </c>
      <c r="L27" s="26" t="s">
        <v>60</v>
      </c>
      <c r="M27" s="25">
        <f>VLOOKUP(B27&amp;C27,[2]raw_data!A:T,12,0)*0.092903</f>
        <v>1.0244135101</v>
      </c>
      <c r="N27" s="25">
        <f>IF((VLOOKUP(B27&amp;C27,[2]raw_data!A:T,13,0))=0,0,1000/(VLOOKUP(B27&amp;C27,[2]raw_data!A:T,13,0)*10.7639))</f>
        <v>5.0001684556752721</v>
      </c>
      <c r="O27" s="25">
        <f>VLOOKUP(B27&amp;C27,[2]raw_data!A:T,14,0)*0.092903</f>
        <v>0.74972720999999998</v>
      </c>
      <c r="P27" s="25">
        <f>VLOOKUP(B27&amp;C27,[2]raw_data!A:T,15,0)*0.092903/D27</f>
        <v>0</v>
      </c>
      <c r="Q27" s="25">
        <v>20</v>
      </c>
      <c r="R27" s="25">
        <v>0</v>
      </c>
      <c r="S27" s="25">
        <v>0</v>
      </c>
      <c r="T27" s="25">
        <f>VLOOKUP(B27&amp;C27,[2]raw_data!A:T,17,0)*2118.88/D27</f>
        <v>0</v>
      </c>
      <c r="U27" s="25">
        <f>VLOOKUP(B27&amp;C27,[2]raw_data!A:T,18,0)*2118.88/10.7639</f>
        <v>0</v>
      </c>
      <c r="V27" s="25">
        <f>VLOOKUP(B27&amp;C27,[2]raw_data!A:T,19,0)*2118.88</f>
        <v>0</v>
      </c>
      <c r="W27" s="25">
        <f>VLOOKUP(B27&amp;C27,[2]raw_data!A:T,20,0)*2118.88</f>
        <v>0</v>
      </c>
    </row>
    <row r="28" spans="1:23" ht="42.75" x14ac:dyDescent="0.3">
      <c r="A28" s="22" t="s">
        <v>4</v>
      </c>
      <c r="B28" s="23" t="s">
        <v>56</v>
      </c>
      <c r="C28" s="24" t="s">
        <v>67</v>
      </c>
      <c r="D28" s="25">
        <f>VLOOKUP(B28&amp;C28,[2]raw_data!A:T,6,0)*10.7639</f>
        <v>2231.787026</v>
      </c>
      <c r="E28" s="22">
        <f>VLOOKUP(B28&amp;C28,[2]raw_data!A:T,7,0)</f>
        <v>1</v>
      </c>
      <c r="F28" s="22" t="str">
        <f>VLOOKUP(B28&amp;C28,[2]raw_data!A:T,8,0)</f>
        <v>Yes</v>
      </c>
      <c r="G28" s="23" t="s">
        <v>58</v>
      </c>
      <c r="H28" s="22" t="str">
        <f>IF(VLOOKUP(B28&amp;C28,[2]raw_data!A:T,9,0)=0,"",VLOOKUP(B28&amp;C28,[2]raw_data!A:T,9,0))</f>
        <v>PACU_VAV_TOP</v>
      </c>
      <c r="I28" s="25">
        <f>VLOOKUP(B28&amp;C28,[2]raw_data!A:T,10,0)*10.7639</f>
        <v>1473.7931879999999</v>
      </c>
      <c r="J28" s="25">
        <f>VLOOKUP(B28&amp;C28,[2]raw_data!A:T,11,0)*10.7639</f>
        <v>702.45211400000005</v>
      </c>
      <c r="K28" s="26" t="s">
        <v>59</v>
      </c>
      <c r="L28" s="26" t="s">
        <v>60</v>
      </c>
      <c r="M28" s="25">
        <f>VLOOKUP(B28&amp;C28,[2]raw_data!A:T,12,0)*0.092903</f>
        <v>1.0244135101</v>
      </c>
      <c r="N28" s="25">
        <f>IF((VLOOKUP(B28&amp;C28,[2]raw_data!A:T,13,0))=0,0,1000/(VLOOKUP(B28&amp;C28,[2]raw_data!A:T,13,0)*10.7639))</f>
        <v>5.0001684556752721</v>
      </c>
      <c r="O28" s="25">
        <f>VLOOKUP(B28&amp;C28,[2]raw_data!A:T,14,0)*0.092903</f>
        <v>0.74972720999999998</v>
      </c>
      <c r="P28" s="25">
        <f>VLOOKUP(B28&amp;C28,[2]raw_data!A:T,15,0)*0.092903/D28</f>
        <v>0</v>
      </c>
      <c r="Q28" s="25">
        <v>20</v>
      </c>
      <c r="R28" s="25">
        <v>0</v>
      </c>
      <c r="S28" s="25">
        <v>0</v>
      </c>
      <c r="T28" s="25">
        <f>VLOOKUP(B28&amp;C28,[2]raw_data!A:T,17,0)*2118.88/D28</f>
        <v>0</v>
      </c>
      <c r="U28" s="25">
        <f>VLOOKUP(B28&amp;C28,[2]raw_data!A:T,18,0)*2118.88/10.7639</f>
        <v>0.20181713413330082</v>
      </c>
      <c r="V28" s="25">
        <f>VLOOKUP(B28&amp;C28,[2]raw_data!A:T,19,0)*2118.88</f>
        <v>0</v>
      </c>
      <c r="W28" s="25">
        <f>VLOOKUP(B28&amp;C28,[2]raw_data!A:T,20,0)*2118.88</f>
        <v>0</v>
      </c>
    </row>
    <row r="29" spans="1:23" ht="42.75" x14ac:dyDescent="0.3">
      <c r="A29" s="22" t="s">
        <v>4</v>
      </c>
      <c r="B29" s="23" t="s">
        <v>56</v>
      </c>
      <c r="C29" s="24" t="s">
        <v>68</v>
      </c>
      <c r="D29" s="25">
        <f>VLOOKUP(B29&amp;C29,[2]raw_data!A:T,6,0)*10.7639</f>
        <v>1412.8695139999998</v>
      </c>
      <c r="E29" s="22">
        <f>VLOOKUP(B29&amp;C29,[2]raw_data!A:T,7,0)</f>
        <v>1</v>
      </c>
      <c r="F29" s="22" t="str">
        <f>VLOOKUP(B29&amp;C29,[2]raw_data!A:T,8,0)</f>
        <v>Yes</v>
      </c>
      <c r="G29" s="23" t="s">
        <v>58</v>
      </c>
      <c r="H29" s="22" t="str">
        <f>IF(VLOOKUP(B29&amp;C29,[2]raw_data!A:T,9,0)=0,"",VLOOKUP(B29&amp;C29,[2]raw_data!A:T,9,0))</f>
        <v>PACU_VAV_TOP</v>
      </c>
      <c r="I29" s="25">
        <f>VLOOKUP(B29&amp;C29,[2]raw_data!A:T,10,0)*10.7639</f>
        <v>982.52879199999995</v>
      </c>
      <c r="J29" s="25">
        <f>VLOOKUP(B29&amp;C29,[2]raw_data!A:T,11,0)*10.7639</f>
        <v>468.33728899999994</v>
      </c>
      <c r="K29" s="26" t="s">
        <v>59</v>
      </c>
      <c r="L29" s="26" t="s">
        <v>60</v>
      </c>
      <c r="M29" s="25">
        <f>VLOOKUP(B29&amp;C29,[2]raw_data!A:T,12,0)*0.092903</f>
        <v>1.0244135101</v>
      </c>
      <c r="N29" s="25">
        <f>IF((VLOOKUP(B29&amp;C29,[2]raw_data!A:T,13,0))=0,0,1000/(VLOOKUP(B29&amp;C29,[2]raw_data!A:T,13,0)*10.7639))</f>
        <v>5.0001684556752721</v>
      </c>
      <c r="O29" s="25">
        <f>VLOOKUP(B29&amp;C29,[2]raw_data!A:T,14,0)*0.092903</f>
        <v>0.74968075849999993</v>
      </c>
      <c r="P29" s="25">
        <f>VLOOKUP(B29&amp;C29,[2]raw_data!A:T,15,0)*0.092903/D29</f>
        <v>0</v>
      </c>
      <c r="Q29" s="25">
        <v>20</v>
      </c>
      <c r="R29" s="25">
        <v>0</v>
      </c>
      <c r="S29" s="25">
        <v>0</v>
      </c>
      <c r="T29" s="25">
        <f>VLOOKUP(B29&amp;C29,[2]raw_data!A:T,17,0)*2118.88/D29</f>
        <v>0</v>
      </c>
      <c r="U29" s="25">
        <f>VLOOKUP(B29&amp;C29,[2]raw_data!A:T,18,0)*2118.88/10.7639</f>
        <v>0.20181713413330082</v>
      </c>
      <c r="V29" s="25">
        <f>VLOOKUP(B29&amp;C29,[2]raw_data!A:T,19,0)*2118.88</f>
        <v>0</v>
      </c>
      <c r="W29" s="25">
        <f>VLOOKUP(B29&amp;C29,[2]raw_data!A:T,20,0)*2118.88</f>
        <v>0</v>
      </c>
    </row>
    <row r="30" spans="1:23" ht="42.75" x14ac:dyDescent="0.3">
      <c r="A30" s="22" t="s">
        <v>4</v>
      </c>
      <c r="B30" s="23" t="s">
        <v>56</v>
      </c>
      <c r="C30" s="24" t="s">
        <v>69</v>
      </c>
      <c r="D30" s="25">
        <f>VLOOKUP(B30&amp;C30,[2]raw_data!A:T,6,0)*10.7639</f>
        <v>2231.787026</v>
      </c>
      <c r="E30" s="22">
        <f>VLOOKUP(B30&amp;C30,[2]raw_data!A:T,7,0)</f>
        <v>1</v>
      </c>
      <c r="F30" s="22" t="str">
        <f>VLOOKUP(B30&amp;C30,[2]raw_data!A:T,8,0)</f>
        <v>Yes</v>
      </c>
      <c r="G30" s="23" t="s">
        <v>58</v>
      </c>
      <c r="H30" s="22" t="str">
        <f>IF(VLOOKUP(B30&amp;C30,[2]raw_data!A:T,9,0)=0,"",VLOOKUP(B30&amp;C30,[2]raw_data!A:T,9,0))</f>
        <v>PACU_VAV_TOP</v>
      </c>
      <c r="I30" s="25">
        <f>VLOOKUP(B30&amp;C30,[2]raw_data!A:T,10,0)*10.7639</f>
        <v>1473.7931879999999</v>
      </c>
      <c r="J30" s="25">
        <f>VLOOKUP(B30&amp;C30,[2]raw_data!A:T,11,0)*10.7639</f>
        <v>702.45211400000005</v>
      </c>
      <c r="K30" s="26" t="s">
        <v>59</v>
      </c>
      <c r="L30" s="26" t="s">
        <v>60</v>
      </c>
      <c r="M30" s="25">
        <f>VLOOKUP(B30&amp;C30,[2]raw_data!A:T,12,0)*0.092903</f>
        <v>1.0244135101</v>
      </c>
      <c r="N30" s="25">
        <f>IF((VLOOKUP(B30&amp;C30,[2]raw_data!A:T,13,0))=0,0,1000/(VLOOKUP(B30&amp;C30,[2]raw_data!A:T,13,0)*10.7639))</f>
        <v>5.0001684556752721</v>
      </c>
      <c r="O30" s="25">
        <f>VLOOKUP(B30&amp;C30,[2]raw_data!A:T,14,0)*0.092903</f>
        <v>0.74971791970000001</v>
      </c>
      <c r="P30" s="25">
        <f>VLOOKUP(B30&amp;C30,[2]raw_data!A:T,15,0)*0.092903/D30</f>
        <v>0</v>
      </c>
      <c r="Q30" s="25">
        <v>20</v>
      </c>
      <c r="R30" s="25">
        <v>0</v>
      </c>
      <c r="S30" s="25">
        <v>0</v>
      </c>
      <c r="T30" s="25">
        <f>VLOOKUP(B30&amp;C30,[2]raw_data!A:T,17,0)*2118.88/D30</f>
        <v>0</v>
      </c>
      <c r="U30" s="25">
        <f>VLOOKUP(B30&amp;C30,[2]raw_data!A:T,18,0)*2118.88/10.7639</f>
        <v>0.20181713413330082</v>
      </c>
      <c r="V30" s="25">
        <f>VLOOKUP(B30&amp;C30,[2]raw_data!A:T,19,0)*2118.88</f>
        <v>0</v>
      </c>
      <c r="W30" s="25">
        <f>VLOOKUP(B30&amp;C30,[2]raw_data!A:T,20,0)*2118.88</f>
        <v>0</v>
      </c>
    </row>
    <row r="31" spans="1:23" ht="42.75" x14ac:dyDescent="0.3">
      <c r="A31" s="22" t="s">
        <v>4</v>
      </c>
      <c r="B31" s="23" t="s">
        <v>56</v>
      </c>
      <c r="C31" s="24" t="s">
        <v>70</v>
      </c>
      <c r="D31" s="25">
        <f>VLOOKUP(B31&amp;C31,[2]raw_data!A:T,6,0)*10.7639</f>
        <v>1412.7618749999999</v>
      </c>
      <c r="E31" s="22">
        <f>VLOOKUP(B31&amp;C31,[2]raw_data!A:T,7,0)</f>
        <v>1</v>
      </c>
      <c r="F31" s="22" t="str">
        <f>VLOOKUP(B31&amp;C31,[2]raw_data!A:T,8,0)</f>
        <v>Yes</v>
      </c>
      <c r="G31" s="23" t="s">
        <v>58</v>
      </c>
      <c r="H31" s="22" t="str">
        <f>IF(VLOOKUP(B31&amp;C31,[2]raw_data!A:T,9,0)=0,"",VLOOKUP(B31&amp;C31,[2]raw_data!A:T,9,0))</f>
        <v>PACU_VAV_TOP</v>
      </c>
      <c r="I31" s="25">
        <f>VLOOKUP(B31&amp;C31,[2]raw_data!A:T,10,0)*10.7639</f>
        <v>982.52879199999995</v>
      </c>
      <c r="J31" s="25">
        <f>VLOOKUP(B31&amp;C31,[2]raw_data!A:T,11,0)*10.7639</f>
        <v>468.33728899999994</v>
      </c>
      <c r="K31" s="26" t="s">
        <v>59</v>
      </c>
      <c r="L31" s="26" t="s">
        <v>60</v>
      </c>
      <c r="M31" s="25">
        <f>VLOOKUP(B31&amp;C31,[2]raw_data!A:T,12,0)*0.092903</f>
        <v>1.0244135101</v>
      </c>
      <c r="N31" s="25">
        <f>IF((VLOOKUP(B31&amp;C31,[2]raw_data!A:T,13,0))=0,0,1000/(VLOOKUP(B31&amp;C31,[2]raw_data!A:T,13,0)*10.7639))</f>
        <v>5.0001684556752721</v>
      </c>
      <c r="O31" s="25">
        <f>VLOOKUP(B31&amp;C31,[2]raw_data!A:T,14,0)*0.092903</f>
        <v>0.74972720999999998</v>
      </c>
      <c r="P31" s="25">
        <f>VLOOKUP(B31&amp;C31,[2]raw_data!A:T,15,0)*0.092903/D31</f>
        <v>0</v>
      </c>
      <c r="Q31" s="25">
        <v>20</v>
      </c>
      <c r="R31" s="25">
        <v>0</v>
      </c>
      <c r="S31" s="25">
        <v>0</v>
      </c>
      <c r="T31" s="25">
        <f>VLOOKUP(B31&amp;C31,[2]raw_data!A:T,17,0)*2118.88/D31</f>
        <v>0</v>
      </c>
      <c r="U31" s="25">
        <f>VLOOKUP(B31&amp;C31,[2]raw_data!A:T,18,0)*2118.88/10.7639</f>
        <v>0.20181713413330082</v>
      </c>
      <c r="V31" s="25">
        <f>VLOOKUP(B31&amp;C31,[2]raw_data!A:T,19,0)*2118.88</f>
        <v>0</v>
      </c>
      <c r="W31" s="25">
        <f>VLOOKUP(B31&amp;C31,[2]raw_data!A:T,20,0)*2118.88</f>
        <v>0</v>
      </c>
    </row>
    <row r="32" spans="1:23" ht="42.75" x14ac:dyDescent="0.3">
      <c r="A32" s="22" t="s">
        <v>4</v>
      </c>
      <c r="B32" s="23" t="s">
        <v>56</v>
      </c>
      <c r="C32" s="24" t="s">
        <v>71</v>
      </c>
      <c r="D32" s="25">
        <f>VLOOKUP(B32&amp;C32,[2]raw_data!A:T,6,0)*10.7639</f>
        <v>2231.787026</v>
      </c>
      <c r="E32" s="22">
        <f>VLOOKUP(B32&amp;C32,[2]raw_data!A:T,7,0)</f>
        <v>1</v>
      </c>
      <c r="F32" s="22" t="str">
        <f>VLOOKUP(B32&amp;C32,[2]raw_data!A:T,8,0)</f>
        <v>Yes</v>
      </c>
      <c r="G32" s="23" t="s">
        <v>58</v>
      </c>
      <c r="H32" s="22" t="str">
        <f>IF(VLOOKUP(B32&amp;C32,[2]raw_data!A:T,9,0)=0,"",VLOOKUP(B32&amp;C32,[2]raw_data!A:T,9,0))</f>
        <v>PACU_VAV_BOT</v>
      </c>
      <c r="I32" s="25">
        <f>VLOOKUP(B32&amp;C32,[2]raw_data!A:T,10,0)*10.7639</f>
        <v>1473.7931879999999</v>
      </c>
      <c r="J32" s="25">
        <f>VLOOKUP(B32&amp;C32,[2]raw_data!A:T,11,0)*10.7639</f>
        <v>702.45211400000005</v>
      </c>
      <c r="K32" s="26" t="s">
        <v>59</v>
      </c>
      <c r="L32" s="26" t="s">
        <v>60</v>
      </c>
      <c r="M32" s="25">
        <f>VLOOKUP(B32&amp;C32,[2]raw_data!A:T,12,0)*0.092903</f>
        <v>1.0244135101</v>
      </c>
      <c r="N32" s="25">
        <f>IF((VLOOKUP(B32&amp;C32,[2]raw_data!A:T,13,0))=0,0,1000/(VLOOKUP(B32&amp;C32,[2]raw_data!A:T,13,0)*10.7639))</f>
        <v>5.0001684556752721</v>
      </c>
      <c r="O32" s="25">
        <f>VLOOKUP(B32&amp;C32,[2]raw_data!A:T,14,0)*0.092903</f>
        <v>0.74972720999999998</v>
      </c>
      <c r="P32" s="25">
        <f>VLOOKUP(B32&amp;C32,[2]raw_data!A:T,15,0)*0.092903/D32</f>
        <v>0</v>
      </c>
      <c r="Q32" s="25">
        <v>20</v>
      </c>
      <c r="R32" s="25">
        <v>0</v>
      </c>
      <c r="S32" s="25">
        <v>0</v>
      </c>
      <c r="T32" s="25">
        <f>VLOOKUP(B32&amp;C32,[2]raw_data!A:T,17,0)*2118.88/D32</f>
        <v>0</v>
      </c>
      <c r="U32" s="25">
        <f>VLOOKUP(B32&amp;C32,[2]raw_data!A:T,18,0)*2118.88/10.7639</f>
        <v>0.20181713413330082</v>
      </c>
      <c r="V32" s="25">
        <f>VLOOKUP(B32&amp;C32,[2]raw_data!A:T,19,0)*2118.88</f>
        <v>0</v>
      </c>
      <c r="W32" s="25">
        <f>VLOOKUP(B32&amp;C32,[2]raw_data!A:T,20,0)*2118.88</f>
        <v>0</v>
      </c>
    </row>
    <row r="33" spans="1:23" ht="42.75" x14ac:dyDescent="0.3">
      <c r="A33" s="22" t="s">
        <v>4</v>
      </c>
      <c r="B33" s="23" t="s">
        <v>56</v>
      </c>
      <c r="C33" s="24" t="s">
        <v>72</v>
      </c>
      <c r="D33" s="25">
        <f>VLOOKUP(B33&amp;C33,[2]raw_data!A:T,6,0)*10.7639</f>
        <v>1412.8695139999998</v>
      </c>
      <c r="E33" s="22">
        <f>VLOOKUP(B33&amp;C33,[2]raw_data!A:T,7,0)</f>
        <v>1</v>
      </c>
      <c r="F33" s="22" t="str">
        <f>VLOOKUP(B33&amp;C33,[2]raw_data!A:T,8,0)</f>
        <v>Yes</v>
      </c>
      <c r="G33" s="23" t="s">
        <v>58</v>
      </c>
      <c r="H33" s="22" t="str">
        <f>IF(VLOOKUP(B33&amp;C33,[2]raw_data!A:T,9,0)=0,"",VLOOKUP(B33&amp;C33,[2]raw_data!A:T,9,0))</f>
        <v>PACU_VAV_BOT</v>
      </c>
      <c r="I33" s="25">
        <f>VLOOKUP(B33&amp;C33,[2]raw_data!A:T,10,0)*10.7639</f>
        <v>982.52879199999995</v>
      </c>
      <c r="J33" s="25">
        <f>VLOOKUP(B33&amp;C33,[2]raw_data!A:T,11,0)*10.7639</f>
        <v>468.33728899999994</v>
      </c>
      <c r="K33" s="26" t="s">
        <v>59</v>
      </c>
      <c r="L33" s="26" t="s">
        <v>60</v>
      </c>
      <c r="M33" s="25">
        <f>VLOOKUP(B33&amp;C33,[2]raw_data!A:T,12,0)*0.092903</f>
        <v>1.0244135101</v>
      </c>
      <c r="N33" s="25">
        <f>IF((VLOOKUP(B33&amp;C33,[2]raw_data!A:T,13,0))=0,0,1000/(VLOOKUP(B33&amp;C33,[2]raw_data!A:T,13,0)*10.7639))</f>
        <v>5.0001684556752721</v>
      </c>
      <c r="O33" s="25">
        <f>VLOOKUP(B33&amp;C33,[2]raw_data!A:T,14,0)*0.092903</f>
        <v>0.74968075849999993</v>
      </c>
      <c r="P33" s="25">
        <f>VLOOKUP(B33&amp;C33,[2]raw_data!A:T,15,0)*0.092903/D33</f>
        <v>0</v>
      </c>
      <c r="Q33" s="25">
        <v>20</v>
      </c>
      <c r="R33" s="25">
        <v>0</v>
      </c>
      <c r="S33" s="25">
        <v>0</v>
      </c>
      <c r="T33" s="25">
        <f>VLOOKUP(B33&amp;C33,[2]raw_data!A:T,17,0)*2118.88/D33</f>
        <v>0</v>
      </c>
      <c r="U33" s="25">
        <f>VLOOKUP(B33&amp;C33,[2]raw_data!A:T,18,0)*2118.88/10.7639</f>
        <v>0.20181713413330082</v>
      </c>
      <c r="V33" s="25">
        <f>VLOOKUP(B33&amp;C33,[2]raw_data!A:T,19,0)*2118.88</f>
        <v>0</v>
      </c>
      <c r="W33" s="25">
        <f>VLOOKUP(B33&amp;C33,[2]raw_data!A:T,20,0)*2118.88</f>
        <v>0</v>
      </c>
    </row>
    <row r="34" spans="1:23" ht="42.75" x14ac:dyDescent="0.3">
      <c r="A34" s="22" t="s">
        <v>4</v>
      </c>
      <c r="B34" s="23" t="s">
        <v>56</v>
      </c>
      <c r="C34" s="24" t="s">
        <v>73</v>
      </c>
      <c r="D34" s="25">
        <f>VLOOKUP(B34&amp;C34,[2]raw_data!A:T,6,0)*10.7639</f>
        <v>2231.787026</v>
      </c>
      <c r="E34" s="22">
        <f>VLOOKUP(B34&amp;C34,[2]raw_data!A:T,7,0)</f>
        <v>1</v>
      </c>
      <c r="F34" s="22" t="str">
        <f>VLOOKUP(B34&amp;C34,[2]raw_data!A:T,8,0)</f>
        <v>Yes</v>
      </c>
      <c r="G34" s="23" t="s">
        <v>58</v>
      </c>
      <c r="H34" s="22" t="str">
        <f>IF(VLOOKUP(B34&amp;C34,[2]raw_data!A:T,9,0)=0,"",VLOOKUP(B34&amp;C34,[2]raw_data!A:T,9,0))</f>
        <v>PACU_VAV_BOT</v>
      </c>
      <c r="I34" s="25">
        <f>VLOOKUP(B34&amp;C34,[2]raw_data!A:T,10,0)*10.7639</f>
        <v>1473.7931879999999</v>
      </c>
      <c r="J34" s="25">
        <f>VLOOKUP(B34&amp;C34,[2]raw_data!A:T,11,0)*10.7639</f>
        <v>702.45211400000005</v>
      </c>
      <c r="K34" s="26" t="s">
        <v>59</v>
      </c>
      <c r="L34" s="26" t="s">
        <v>60</v>
      </c>
      <c r="M34" s="25">
        <f>VLOOKUP(B34&amp;C34,[2]raw_data!A:T,12,0)*0.092903</f>
        <v>1.0244135101</v>
      </c>
      <c r="N34" s="25">
        <f>IF((VLOOKUP(B34&amp;C34,[2]raw_data!A:T,13,0))=0,0,1000/(VLOOKUP(B34&amp;C34,[2]raw_data!A:T,13,0)*10.7639))</f>
        <v>5.0001684556752721</v>
      </c>
      <c r="O34" s="25">
        <f>VLOOKUP(B34&amp;C34,[2]raw_data!A:T,14,0)*0.092903</f>
        <v>0.74971791970000001</v>
      </c>
      <c r="P34" s="25">
        <f>VLOOKUP(B34&amp;C34,[2]raw_data!A:T,15,0)*0.092903/D34</f>
        <v>0</v>
      </c>
      <c r="Q34" s="25">
        <v>20</v>
      </c>
      <c r="R34" s="25">
        <v>0</v>
      </c>
      <c r="S34" s="25">
        <v>0</v>
      </c>
      <c r="T34" s="25">
        <f>VLOOKUP(B34&amp;C34,[2]raw_data!A:T,17,0)*2118.88/D34</f>
        <v>0</v>
      </c>
      <c r="U34" s="25">
        <f>VLOOKUP(B34&amp;C34,[2]raw_data!A:T,18,0)*2118.88/10.7639</f>
        <v>0.20181713413330082</v>
      </c>
      <c r="V34" s="25">
        <f>VLOOKUP(B34&amp;C34,[2]raw_data!A:T,19,0)*2118.88</f>
        <v>0</v>
      </c>
      <c r="W34" s="25">
        <f>VLOOKUP(B34&amp;C34,[2]raw_data!A:T,20,0)*2118.88</f>
        <v>2209.9979211856003</v>
      </c>
    </row>
    <row r="35" spans="1:23" ht="42.75" x14ac:dyDescent="0.3">
      <c r="A35" s="22" t="s">
        <v>4</v>
      </c>
      <c r="B35" s="23" t="s">
        <v>56</v>
      </c>
      <c r="C35" s="24" t="s">
        <v>74</v>
      </c>
      <c r="D35" s="25">
        <f>VLOOKUP(B35&amp;C35,[2]raw_data!A:T,6,0)*10.7639</f>
        <v>1412.7618749999999</v>
      </c>
      <c r="E35" s="22">
        <f>VLOOKUP(B35&amp;C35,[2]raw_data!A:T,7,0)</f>
        <v>1</v>
      </c>
      <c r="F35" s="22" t="str">
        <f>VLOOKUP(B35&amp;C35,[2]raw_data!A:T,8,0)</f>
        <v>Yes</v>
      </c>
      <c r="G35" s="23" t="s">
        <v>58</v>
      </c>
      <c r="H35" s="22" t="str">
        <f>IF(VLOOKUP(B35&amp;C35,[2]raw_data!A:T,9,0)=0,"",VLOOKUP(B35&amp;C35,[2]raw_data!A:T,9,0))</f>
        <v>PACU_VAV_BOT</v>
      </c>
      <c r="I35" s="25">
        <f>VLOOKUP(B35&amp;C35,[2]raw_data!A:T,10,0)*10.7639</f>
        <v>982.52879199999995</v>
      </c>
      <c r="J35" s="25">
        <f>VLOOKUP(B35&amp;C35,[2]raw_data!A:T,11,0)*10.7639</f>
        <v>468.33728899999994</v>
      </c>
      <c r="K35" s="26" t="s">
        <v>59</v>
      </c>
      <c r="L35" s="26" t="s">
        <v>60</v>
      </c>
      <c r="M35" s="25">
        <f>VLOOKUP(B35&amp;C35,[2]raw_data!A:T,12,0)*0.092903</f>
        <v>1.0244135101</v>
      </c>
      <c r="N35" s="25">
        <f>IF((VLOOKUP(B35&amp;C35,[2]raw_data!A:T,13,0))=0,0,1000/(VLOOKUP(B35&amp;C35,[2]raw_data!A:T,13,0)*10.7639))</f>
        <v>5.0001684556752721</v>
      </c>
      <c r="O35" s="25">
        <f>VLOOKUP(B35&amp;C35,[2]raw_data!A:T,14,0)*0.092903</f>
        <v>0.74972720999999998</v>
      </c>
      <c r="P35" s="25">
        <f>VLOOKUP(B35&amp;C35,[2]raw_data!A:T,15,0)*0.092903/D35</f>
        <v>0</v>
      </c>
      <c r="Q35" s="25">
        <v>20</v>
      </c>
      <c r="R35" s="25">
        <v>0</v>
      </c>
      <c r="S35" s="25">
        <v>0</v>
      </c>
      <c r="T35" s="25">
        <f>VLOOKUP(B35&amp;C35,[2]raw_data!A:T,17,0)*2118.88/D35</f>
        <v>0</v>
      </c>
      <c r="U35" s="25">
        <f>VLOOKUP(B35&amp;C35,[2]raw_data!A:T,18,0)*2118.88/10.7639</f>
        <v>0.20181713413330082</v>
      </c>
      <c r="V35" s="25">
        <f>VLOOKUP(B35&amp;C35,[2]raw_data!A:T,19,0)*2118.88</f>
        <v>0</v>
      </c>
      <c r="W35" s="25">
        <f>VLOOKUP(B35&amp;C35,[2]raw_data!A:T,20,0)*2118.88</f>
        <v>0</v>
      </c>
    </row>
    <row r="36" spans="1:23" ht="42.75" x14ac:dyDescent="0.3">
      <c r="A36" s="22" t="s">
        <v>4</v>
      </c>
      <c r="B36" s="23" t="s">
        <v>56</v>
      </c>
      <c r="C36" s="24" t="s">
        <v>75</v>
      </c>
      <c r="D36" s="25">
        <f>VLOOKUP(B36&amp;C36,[2]raw_data!A:T,6,0)*10.7639</f>
        <v>2231.787026</v>
      </c>
      <c r="E36" s="22">
        <f>VLOOKUP(B36&amp;C36,[2]raw_data!A:T,7,0)</f>
        <v>1</v>
      </c>
      <c r="F36" s="22" t="str">
        <f>VLOOKUP(B36&amp;C36,[2]raw_data!A:T,8,0)</f>
        <v>Yes</v>
      </c>
      <c r="G36" s="23" t="s">
        <v>58</v>
      </c>
      <c r="H36" s="22" t="str">
        <f>IF(VLOOKUP(B36&amp;C36,[2]raw_data!A:T,9,0)=0,"",VLOOKUP(B36&amp;C36,[2]raw_data!A:T,9,0))</f>
        <v>PACU_VAV_MID</v>
      </c>
      <c r="I36" s="25">
        <f>VLOOKUP(B36&amp;C36,[2]raw_data!A:T,10,0)*10.7639</f>
        <v>1473.7931879999999</v>
      </c>
      <c r="J36" s="25">
        <f>VLOOKUP(B36&amp;C36,[2]raw_data!A:T,11,0)*10.7639</f>
        <v>702.45211400000005</v>
      </c>
      <c r="K36" s="26" t="s">
        <v>59</v>
      </c>
      <c r="L36" s="26" t="s">
        <v>60</v>
      </c>
      <c r="M36" s="25">
        <f>VLOOKUP(B36&amp;C36,[2]raw_data!A:T,12,0)*0.092903</f>
        <v>1.0244135101</v>
      </c>
      <c r="N36" s="25">
        <f>IF((VLOOKUP(B36&amp;C36,[2]raw_data!A:T,13,0))=0,0,1000/(VLOOKUP(B36&amp;C36,[2]raw_data!A:T,13,0)*10.7639))</f>
        <v>5.0001684556752721</v>
      </c>
      <c r="O36" s="25">
        <f>VLOOKUP(B36&amp;C36,[2]raw_data!A:T,14,0)*0.092903</f>
        <v>0.74972720999999998</v>
      </c>
      <c r="P36" s="25">
        <f>VLOOKUP(B36&amp;C36,[2]raw_data!A:T,15,0)*0.092903/D36</f>
        <v>0</v>
      </c>
      <c r="Q36" s="25">
        <v>20</v>
      </c>
      <c r="R36" s="25">
        <v>0</v>
      </c>
      <c r="S36" s="25">
        <v>0</v>
      </c>
      <c r="T36" s="25">
        <f>VLOOKUP(B36&amp;C36,[2]raw_data!A:T,17,0)*2118.88/D36</f>
        <v>0</v>
      </c>
      <c r="U36" s="25">
        <f>VLOOKUP(B36&amp;C36,[2]raw_data!A:T,18,0)*2118.88/10.7639</f>
        <v>0.20181713413330082</v>
      </c>
      <c r="V36" s="25">
        <f>VLOOKUP(B36&amp;C36,[2]raw_data!A:T,19,0)*2118.88</f>
        <v>0</v>
      </c>
      <c r="W36" s="25">
        <f>VLOOKUP(B36&amp;C36,[2]raw_data!A:T,20,0)*2118.88</f>
        <v>0</v>
      </c>
    </row>
    <row r="37" spans="1:23" ht="42.75" x14ac:dyDescent="0.3">
      <c r="A37" s="22" t="s">
        <v>4</v>
      </c>
      <c r="B37" s="23" t="s">
        <v>56</v>
      </c>
      <c r="C37" s="24" t="s">
        <v>76</v>
      </c>
      <c r="D37" s="25">
        <f>VLOOKUP(B37&amp;C37,[2]raw_data!A:T,6,0)*10.7639</f>
        <v>1412.8695139999998</v>
      </c>
      <c r="E37" s="22">
        <f>VLOOKUP(B37&amp;C37,[2]raw_data!A:T,7,0)</f>
        <v>1</v>
      </c>
      <c r="F37" s="22" t="str">
        <f>VLOOKUP(B37&amp;C37,[2]raw_data!A:T,8,0)</f>
        <v>Yes</v>
      </c>
      <c r="G37" s="23" t="s">
        <v>58</v>
      </c>
      <c r="H37" s="22" t="str">
        <f>IF(VLOOKUP(B37&amp;C37,[2]raw_data!A:T,9,0)=0,"",VLOOKUP(B37&amp;C37,[2]raw_data!A:T,9,0))</f>
        <v>PACU_VAV_MID</v>
      </c>
      <c r="I37" s="25">
        <f>VLOOKUP(B37&amp;C37,[2]raw_data!A:T,10,0)*10.7639</f>
        <v>982.52879199999995</v>
      </c>
      <c r="J37" s="25">
        <f>VLOOKUP(B37&amp;C37,[2]raw_data!A:T,11,0)*10.7639</f>
        <v>468.33728899999994</v>
      </c>
      <c r="K37" s="26" t="s">
        <v>59</v>
      </c>
      <c r="L37" s="26" t="s">
        <v>60</v>
      </c>
      <c r="M37" s="25">
        <f>VLOOKUP(B37&amp;C37,[2]raw_data!A:T,12,0)*0.092903</f>
        <v>1.0244135101</v>
      </c>
      <c r="N37" s="25">
        <f>IF((VLOOKUP(B37&amp;C37,[2]raw_data!A:T,13,0))=0,0,1000/(VLOOKUP(B37&amp;C37,[2]raw_data!A:T,13,0)*10.7639))</f>
        <v>5.0001684556752721</v>
      </c>
      <c r="O37" s="25">
        <f>VLOOKUP(B37&amp;C37,[2]raw_data!A:T,14,0)*0.092903</f>
        <v>0.74968075849999993</v>
      </c>
      <c r="P37" s="25">
        <f>VLOOKUP(B37&amp;C37,[2]raw_data!A:T,15,0)*0.092903/D37</f>
        <v>0</v>
      </c>
      <c r="Q37" s="25">
        <v>20</v>
      </c>
      <c r="R37" s="25">
        <v>0</v>
      </c>
      <c r="S37" s="25">
        <v>0</v>
      </c>
      <c r="T37" s="25">
        <f>VLOOKUP(B37&amp;C37,[2]raw_data!A:T,17,0)*2118.88/D37</f>
        <v>0</v>
      </c>
      <c r="U37" s="25">
        <f>VLOOKUP(B37&amp;C37,[2]raw_data!A:T,18,0)*2118.88/10.7639</f>
        <v>0.20181713413330082</v>
      </c>
      <c r="V37" s="25">
        <f>VLOOKUP(B37&amp;C37,[2]raw_data!A:T,19,0)*2118.88</f>
        <v>0</v>
      </c>
      <c r="W37" s="25">
        <f>VLOOKUP(B37&amp;C37,[2]raw_data!A:T,20,0)*2118.88</f>
        <v>0</v>
      </c>
    </row>
    <row r="38" spans="1:23" ht="42.75" x14ac:dyDescent="0.3">
      <c r="A38" s="22" t="s">
        <v>4</v>
      </c>
      <c r="B38" s="23" t="s">
        <v>56</v>
      </c>
      <c r="C38" s="24" t="s">
        <v>77</v>
      </c>
      <c r="D38" s="25">
        <f>VLOOKUP(B38&amp;C38,[2]raw_data!A:T,6,0)*10.7639</f>
        <v>2231.787026</v>
      </c>
      <c r="E38" s="22">
        <f>VLOOKUP(B38&amp;C38,[2]raw_data!A:T,7,0)</f>
        <v>1</v>
      </c>
      <c r="F38" s="22" t="str">
        <f>VLOOKUP(B38&amp;C38,[2]raw_data!A:T,8,0)</f>
        <v>Yes</v>
      </c>
      <c r="G38" s="23" t="s">
        <v>58</v>
      </c>
      <c r="H38" s="22" t="str">
        <f>IF(VLOOKUP(B38&amp;C38,[2]raw_data!A:T,9,0)=0,"",VLOOKUP(B38&amp;C38,[2]raw_data!A:T,9,0))</f>
        <v>PACU_VAV_MID</v>
      </c>
      <c r="I38" s="25">
        <f>VLOOKUP(B38&amp;C38,[2]raw_data!A:T,10,0)*10.7639</f>
        <v>1473.7931879999999</v>
      </c>
      <c r="J38" s="25">
        <f>VLOOKUP(B38&amp;C38,[2]raw_data!A:T,11,0)*10.7639</f>
        <v>702.45211400000005</v>
      </c>
      <c r="K38" s="26" t="s">
        <v>59</v>
      </c>
      <c r="L38" s="26" t="s">
        <v>60</v>
      </c>
      <c r="M38" s="25">
        <f>VLOOKUP(B38&amp;C38,[2]raw_data!A:T,12,0)*0.092903</f>
        <v>1.0244135101</v>
      </c>
      <c r="N38" s="25">
        <f>IF((VLOOKUP(B38&amp;C38,[2]raw_data!A:T,13,0))=0,0,1000/(VLOOKUP(B38&amp;C38,[2]raw_data!A:T,13,0)*10.7639))</f>
        <v>5.0001684556752721</v>
      </c>
      <c r="O38" s="25">
        <f>VLOOKUP(B38&amp;C38,[2]raw_data!A:T,14,0)*0.092903</f>
        <v>0.74971791970000001</v>
      </c>
      <c r="P38" s="25">
        <f>VLOOKUP(B38&amp;C38,[2]raw_data!A:T,15,0)*0.092903/D38</f>
        <v>0</v>
      </c>
      <c r="Q38" s="25">
        <v>20</v>
      </c>
      <c r="R38" s="25">
        <v>0</v>
      </c>
      <c r="S38" s="25">
        <v>0</v>
      </c>
      <c r="T38" s="25">
        <f>VLOOKUP(B38&amp;C38,[2]raw_data!A:T,17,0)*2118.88/D38</f>
        <v>0</v>
      </c>
      <c r="U38" s="25">
        <f>VLOOKUP(B38&amp;C38,[2]raw_data!A:T,18,0)*2118.88/10.7639</f>
        <v>0.20181713413330082</v>
      </c>
      <c r="V38" s="25">
        <f>VLOOKUP(B38&amp;C38,[2]raw_data!A:T,19,0)*2118.88</f>
        <v>0</v>
      </c>
      <c r="W38" s="25">
        <f>VLOOKUP(B38&amp;C38,[2]raw_data!A:T,20,0)*2118.88</f>
        <v>0</v>
      </c>
    </row>
    <row r="39" spans="1:23" ht="42.75" x14ac:dyDescent="0.3">
      <c r="A39" s="22" t="s">
        <v>4</v>
      </c>
      <c r="B39" s="23" t="s">
        <v>56</v>
      </c>
      <c r="C39" s="24" t="s">
        <v>78</v>
      </c>
      <c r="D39" s="25">
        <f>VLOOKUP(B39&amp;C39,[2]raw_data!A:T,6,0)*10.7639</f>
        <v>1412.7618749999999</v>
      </c>
      <c r="E39" s="22">
        <f>VLOOKUP(B39&amp;C39,[2]raw_data!A:T,7,0)</f>
        <v>1</v>
      </c>
      <c r="F39" s="22" t="str">
        <f>VLOOKUP(B39&amp;C39,[2]raw_data!A:T,8,0)</f>
        <v>Yes</v>
      </c>
      <c r="G39" s="23" t="s">
        <v>58</v>
      </c>
      <c r="H39" s="22" t="str">
        <f>IF(VLOOKUP(B39&amp;C39,[2]raw_data!A:T,9,0)=0,"",VLOOKUP(B39&amp;C39,[2]raw_data!A:T,9,0))</f>
        <v>PACU_VAV_MID</v>
      </c>
      <c r="I39" s="25">
        <f>VLOOKUP(B39&amp;C39,[2]raw_data!A:T,10,0)*10.7639</f>
        <v>982.52879199999995</v>
      </c>
      <c r="J39" s="25">
        <f>VLOOKUP(B39&amp;C39,[2]raw_data!A:T,11,0)*10.7639</f>
        <v>468.33728899999994</v>
      </c>
      <c r="K39" s="26" t="s">
        <v>59</v>
      </c>
      <c r="L39" s="26" t="s">
        <v>60</v>
      </c>
      <c r="M39" s="25">
        <f>VLOOKUP(B39&amp;C39,[2]raw_data!A:T,12,0)*0.092903</f>
        <v>1.0244135101</v>
      </c>
      <c r="N39" s="25">
        <f>IF((VLOOKUP(B39&amp;C39,[2]raw_data!A:T,13,0))=0,0,1000/(VLOOKUP(B39&amp;C39,[2]raw_data!A:T,13,0)*10.7639))</f>
        <v>5.0001684556752721</v>
      </c>
      <c r="O39" s="25">
        <f>VLOOKUP(B39&amp;C39,[2]raw_data!A:T,14,0)*0.092903</f>
        <v>0.74972720999999998</v>
      </c>
      <c r="P39" s="25">
        <f>VLOOKUP(B39&amp;C39,[2]raw_data!A:T,15,0)*0.092903/D39</f>
        <v>0</v>
      </c>
      <c r="Q39" s="25">
        <v>20</v>
      </c>
      <c r="R39" s="25">
        <v>0</v>
      </c>
      <c r="S39" s="25">
        <v>0</v>
      </c>
      <c r="T39" s="25">
        <f>VLOOKUP(B39&amp;C39,[2]raw_data!A:T,17,0)*2118.88/D39</f>
        <v>0</v>
      </c>
      <c r="U39" s="25">
        <f>VLOOKUP(B39&amp;C39,[2]raw_data!A:T,18,0)*2118.88/10.7639</f>
        <v>0.20181713413330082</v>
      </c>
      <c r="V39" s="25">
        <f>VLOOKUP(B39&amp;C39,[2]raw_data!A:T,19,0)*2118.88</f>
        <v>0</v>
      </c>
      <c r="W39" s="25">
        <f>VLOOKUP(B39&amp;C39,[2]raw_data!A:T,20,0)*2118.88</f>
        <v>0</v>
      </c>
    </row>
    <row r="40" spans="1:23" x14ac:dyDescent="0.3">
      <c r="A40" s="22" t="s">
        <v>4</v>
      </c>
      <c r="B40" s="23" t="s">
        <v>56</v>
      </c>
      <c r="C40" s="24" t="s">
        <v>79</v>
      </c>
      <c r="D40" s="25">
        <f>VLOOKUP(B40&amp;C40,[2]raw_data!A:T,6,0)*10.7639</f>
        <v>53627.794940999993</v>
      </c>
      <c r="E40" s="22"/>
      <c r="F40" s="22"/>
      <c r="G40" s="23"/>
      <c r="H40" s="22"/>
      <c r="I40" s="25">
        <f>VLOOKUP(B40&amp;C40,[2]raw_data!A:T,10,0)*10.7639</f>
        <v>14737.501324000001</v>
      </c>
      <c r="J40" s="25">
        <f>VLOOKUP(B40&amp;C40,[2]raw_data!A:T,11,0)*10.7639</f>
        <v>7024.7364179999995</v>
      </c>
      <c r="K40" s="26"/>
      <c r="L40" s="26"/>
      <c r="M40" s="25">
        <f>VLOOKUP(B40&amp;C40,[2]raw_data!A:T,12,0)*0.092903</f>
        <v>1.0244135101</v>
      </c>
      <c r="N40" s="25">
        <f>IF((VLOOKUP(B40&amp;C40,[2]raw_data!A:T,13,0))=0,0,1000/(VLOOKUP(B40&amp;C40,[2]raw_data!A:T,13,0)*10.7639))</f>
        <v>5.0001684556752721</v>
      </c>
      <c r="O40" s="25">
        <f>VLOOKUP(B40&amp;C40,[2]raw_data!A:T,14,0)*0.092903</f>
        <v>1.0608872278999999</v>
      </c>
      <c r="P40" s="25"/>
      <c r="Q40" s="25"/>
      <c r="R40" s="25"/>
      <c r="S40" s="25"/>
      <c r="T40" s="25"/>
      <c r="U40" s="25"/>
      <c r="V40" s="25"/>
      <c r="W40" s="25"/>
    </row>
    <row r="41" spans="1:23" x14ac:dyDescent="0.3">
      <c r="A41" s="22" t="s">
        <v>4</v>
      </c>
      <c r="B41" s="23" t="s">
        <v>56</v>
      </c>
      <c r="C41" s="24" t="s">
        <v>80</v>
      </c>
      <c r="D41" s="25">
        <f>VLOOKUP(B41&amp;C41,[2]raw_data!A:T,6,0)*10.7639</f>
        <v>53627.794940999993</v>
      </c>
      <c r="E41" s="22"/>
      <c r="F41" s="22"/>
      <c r="G41" s="23"/>
      <c r="H41" s="22"/>
      <c r="I41" s="25">
        <f>VLOOKUP(B41&amp;C41,[2]raw_data!A:T,10,0)*10.7639</f>
        <v>14737.501324000001</v>
      </c>
      <c r="J41" s="25">
        <f>VLOOKUP(B41&amp;C41,[2]raw_data!A:T,11,0)*10.7639</f>
        <v>7024.7364179999995</v>
      </c>
      <c r="K41" s="26"/>
      <c r="L41" s="26"/>
      <c r="M41" s="25">
        <f>VLOOKUP(B41&amp;C41,[2]raw_data!A:T,12,0)*0.092903</f>
        <v>1.0244135101</v>
      </c>
      <c r="N41" s="25">
        <f>IF((VLOOKUP(B41&amp;C41,[2]raw_data!A:T,13,0))=0,0,1000/(VLOOKUP(B41&amp;C41,[2]raw_data!A:T,13,0)*10.7639))</f>
        <v>5.0001684556752721</v>
      </c>
      <c r="O41" s="25">
        <f>VLOOKUP(B41&amp;C41,[2]raw_data!A:T,14,0)*0.092903</f>
        <v>1.0608872278999999</v>
      </c>
      <c r="P41" s="25"/>
      <c r="Q41" s="25"/>
      <c r="R41" s="25"/>
      <c r="S41" s="25"/>
      <c r="T41" s="25"/>
      <c r="U41" s="25"/>
      <c r="V41" s="25"/>
      <c r="W41" s="25"/>
    </row>
    <row r="42" spans="1:23" x14ac:dyDescent="0.3">
      <c r="A42" s="22" t="s">
        <v>4</v>
      </c>
      <c r="B42" s="23" t="s">
        <v>56</v>
      </c>
      <c r="C42" s="24" t="s">
        <v>81</v>
      </c>
      <c r="D42" s="25">
        <f>VLOOKUP(B42&amp;C42,[2]raw_data!A:T,6,0)*10.7639</f>
        <v>0</v>
      </c>
      <c r="E42" s="22"/>
      <c r="F42" s="22"/>
      <c r="G42" s="23"/>
      <c r="H42" s="22"/>
      <c r="I42" s="25">
        <f>VLOOKUP(B42&amp;C42,[2]raw_data!A:T,10,0)*10.7639</f>
        <v>0</v>
      </c>
      <c r="J42" s="25">
        <f>VLOOKUP(B42&amp;C42,[2]raw_data!A:T,11,0)*10.7639</f>
        <v>0</v>
      </c>
      <c r="K42" s="26"/>
      <c r="L42" s="26"/>
      <c r="M42" s="25">
        <f>VLOOKUP(B42&amp;C42,[2]raw_data!A:T,12,0)*0.092903</f>
        <v>0</v>
      </c>
      <c r="N42" s="25">
        <f>IF((VLOOKUP(B42&amp;C42,[2]raw_data!A:T,13,0))=0,0,1000/(VLOOKUP(B42&amp;C42,[2]raw_data!A:T,13,0)*10.7639))</f>
        <v>0</v>
      </c>
      <c r="O42" s="25">
        <f>VLOOKUP(B42&amp;C42,[2]raw_data!A:T,14,0)*0.092903</f>
        <v>0</v>
      </c>
      <c r="P42" s="25"/>
      <c r="Q42" s="25"/>
      <c r="R42" s="25"/>
      <c r="S42" s="25"/>
      <c r="T42" s="25"/>
      <c r="U42" s="25"/>
      <c r="V42" s="25"/>
      <c r="W42" s="25"/>
    </row>
    <row r="43" spans="1:23" x14ac:dyDescent="0.3">
      <c r="A43" s="1" t="s">
        <v>82</v>
      </c>
    </row>
    <row r="44" spans="1:23" x14ac:dyDescent="0.3">
      <c r="A44" s="27"/>
      <c r="B44" s="46" t="s">
        <v>83</v>
      </c>
      <c r="C44" s="47"/>
      <c r="D44" s="46" t="s">
        <v>84</v>
      </c>
      <c r="E44" s="48"/>
      <c r="F44" s="47"/>
      <c r="G44" s="46" t="s">
        <v>85</v>
      </c>
      <c r="H44" s="48"/>
      <c r="I44" s="47"/>
    </row>
    <row r="45" spans="1:23" x14ac:dyDescent="0.3">
      <c r="A45" s="28" t="s">
        <v>3</v>
      </c>
      <c r="B45" s="28" t="s">
        <v>86</v>
      </c>
      <c r="C45" s="28" t="s">
        <v>87</v>
      </c>
      <c r="D45" s="28" t="s">
        <v>88</v>
      </c>
      <c r="E45" s="28" t="s">
        <v>89</v>
      </c>
      <c r="F45" s="28" t="s">
        <v>90</v>
      </c>
      <c r="G45" s="28" t="s">
        <v>88</v>
      </c>
      <c r="H45" s="28" t="s">
        <v>91</v>
      </c>
      <c r="I45" s="28" t="s">
        <v>92</v>
      </c>
    </row>
    <row r="46" spans="1:23" x14ac:dyDescent="0.3">
      <c r="A46" s="29" t="s">
        <v>4</v>
      </c>
      <c r="B46" s="30">
        <v>0.96882658186541437</v>
      </c>
      <c r="C46" s="30">
        <v>3.1173418134585733E-2</v>
      </c>
      <c r="D46" s="30">
        <v>2.4749403341288792E-2</v>
      </c>
      <c r="E46" s="30">
        <v>0.95748174832199751</v>
      </c>
      <c r="F46" s="30">
        <v>1.7768848336713865E-2</v>
      </c>
      <c r="G46" s="30">
        <v>2.4749403341288792E-2</v>
      </c>
      <c r="H46" s="30">
        <v>0.6483532219570407</v>
      </c>
      <c r="I46" s="30">
        <v>0.32689737470167068</v>
      </c>
    </row>
    <row r="48" spans="1:23" x14ac:dyDescent="0.3">
      <c r="A48" s="1" t="s">
        <v>93</v>
      </c>
    </row>
    <row r="49" spans="1:28" x14ac:dyDescent="0.3">
      <c r="A49" s="31" t="s">
        <v>94</v>
      </c>
      <c r="B49" s="31" t="s">
        <v>95</v>
      </c>
      <c r="C49" s="31" t="s">
        <v>96</v>
      </c>
      <c r="D49" s="31" t="s">
        <v>97</v>
      </c>
      <c r="E49" s="31" t="s">
        <v>98</v>
      </c>
      <c r="F49" s="31" t="s">
        <v>99</v>
      </c>
      <c r="G49" s="31" t="s">
        <v>100</v>
      </c>
      <c r="H49" s="31" t="s">
        <v>101</v>
      </c>
      <c r="I49" s="31" t="s">
        <v>102</v>
      </c>
      <c r="J49" s="31" t="s">
        <v>103</v>
      </c>
      <c r="K49" s="31" t="s">
        <v>104</v>
      </c>
      <c r="L49" s="31" t="s">
        <v>105</v>
      </c>
      <c r="M49" s="31" t="s">
        <v>106</v>
      </c>
      <c r="N49" s="31" t="s">
        <v>107</v>
      </c>
      <c r="O49" s="31" t="s">
        <v>108</v>
      </c>
      <c r="P49" s="31" t="s">
        <v>109</v>
      </c>
      <c r="Q49" s="31" t="s">
        <v>110</v>
      </c>
      <c r="R49" s="31" t="s">
        <v>111</v>
      </c>
      <c r="S49" s="31" t="s">
        <v>112</v>
      </c>
      <c r="T49" s="31" t="s">
        <v>113</v>
      </c>
      <c r="U49" s="31" t="s">
        <v>114</v>
      </c>
      <c r="V49" s="31" t="s">
        <v>115</v>
      </c>
      <c r="W49" s="31" t="s">
        <v>116</v>
      </c>
      <c r="X49" s="31" t="s">
        <v>117</v>
      </c>
      <c r="Y49" s="31" t="s">
        <v>118</v>
      </c>
      <c r="Z49" s="31" t="s">
        <v>119</v>
      </c>
      <c r="AA49" s="31" t="s">
        <v>120</v>
      </c>
      <c r="AB49" s="31" t="s">
        <v>121</v>
      </c>
    </row>
    <row r="50" spans="1:28" x14ac:dyDescent="0.3">
      <c r="A50" s="29" t="s">
        <v>56</v>
      </c>
      <c r="B50" s="29" t="s">
        <v>122</v>
      </c>
      <c r="C50" s="29" t="s">
        <v>123</v>
      </c>
      <c r="D50" s="29" t="s">
        <v>124</v>
      </c>
      <c r="E50" s="32">
        <v>0.05</v>
      </c>
      <c r="F50" s="32">
        <v>0.05</v>
      </c>
      <c r="G50" s="32">
        <v>0.05</v>
      </c>
      <c r="H50" s="32">
        <v>0.05</v>
      </c>
      <c r="I50" s="32">
        <v>0.05</v>
      </c>
      <c r="J50" s="32">
        <v>0.05</v>
      </c>
      <c r="K50" s="32">
        <v>0.1</v>
      </c>
      <c r="L50" s="32">
        <v>0.1</v>
      </c>
      <c r="M50" s="32">
        <v>0.3</v>
      </c>
      <c r="N50" s="32">
        <v>0.3</v>
      </c>
      <c r="O50" s="32">
        <v>0.3</v>
      </c>
      <c r="P50" s="32">
        <v>0.3</v>
      </c>
      <c r="Q50" s="32">
        <v>0.15</v>
      </c>
      <c r="R50" s="32">
        <v>0.15</v>
      </c>
      <c r="S50" s="32">
        <v>0.15</v>
      </c>
      <c r="T50" s="32">
        <v>0.15</v>
      </c>
      <c r="U50" s="32">
        <v>0.15</v>
      </c>
      <c r="V50" s="32">
        <v>0.05</v>
      </c>
      <c r="W50" s="32">
        <v>0.05</v>
      </c>
      <c r="X50" s="32">
        <v>0.05</v>
      </c>
      <c r="Y50" s="32">
        <v>0.05</v>
      </c>
      <c r="Z50" s="32">
        <v>0.05</v>
      </c>
      <c r="AA50" s="32">
        <v>0.05</v>
      </c>
      <c r="AB50" s="32">
        <v>0.05</v>
      </c>
    </row>
    <row r="51" spans="1:28" x14ac:dyDescent="0.3">
      <c r="A51" s="29" t="s">
        <v>56</v>
      </c>
      <c r="B51" s="29" t="s">
        <v>122</v>
      </c>
      <c r="C51" s="29" t="s">
        <v>123</v>
      </c>
      <c r="D51" s="29" t="s">
        <v>125</v>
      </c>
      <c r="E51" s="32">
        <v>0.05</v>
      </c>
      <c r="F51" s="32">
        <v>0.05</v>
      </c>
      <c r="G51" s="32">
        <v>0.05</v>
      </c>
      <c r="H51" s="32">
        <v>0.05</v>
      </c>
      <c r="I51" s="32">
        <v>0.05</v>
      </c>
      <c r="J51" s="32">
        <v>0.05</v>
      </c>
      <c r="K51" s="32">
        <v>0.05</v>
      </c>
      <c r="L51" s="32">
        <v>0.05</v>
      </c>
      <c r="M51" s="32">
        <v>0.05</v>
      </c>
      <c r="N51" s="32">
        <v>0.05</v>
      </c>
      <c r="O51" s="32">
        <v>0.05</v>
      </c>
      <c r="P51" s="32">
        <v>0.05</v>
      </c>
      <c r="Q51" s="32">
        <v>0.05</v>
      </c>
      <c r="R51" s="32">
        <v>0.05</v>
      </c>
      <c r="S51" s="32">
        <v>0.05</v>
      </c>
      <c r="T51" s="32">
        <v>0.05</v>
      </c>
      <c r="U51" s="32">
        <v>0.05</v>
      </c>
      <c r="V51" s="32">
        <v>0.05</v>
      </c>
      <c r="W51" s="32">
        <v>0.05</v>
      </c>
      <c r="X51" s="32">
        <v>0.05</v>
      </c>
      <c r="Y51" s="32">
        <v>0.05</v>
      </c>
      <c r="Z51" s="32">
        <v>0.05</v>
      </c>
      <c r="AA51" s="32">
        <v>0.05</v>
      </c>
      <c r="AB51" s="32">
        <v>0.05</v>
      </c>
    </row>
    <row r="52" spans="1:28" x14ac:dyDescent="0.3">
      <c r="A52" s="29" t="s">
        <v>56</v>
      </c>
      <c r="B52" s="29" t="s">
        <v>126</v>
      </c>
      <c r="C52" s="29" t="s">
        <v>123</v>
      </c>
      <c r="D52" s="29" t="s">
        <v>127</v>
      </c>
      <c r="E52" s="32">
        <v>0.4</v>
      </c>
      <c r="F52" s="32">
        <v>0.4</v>
      </c>
      <c r="G52" s="32">
        <v>0.4</v>
      </c>
      <c r="H52" s="32">
        <v>0.4</v>
      </c>
      <c r="I52" s="32">
        <v>0.4</v>
      </c>
      <c r="J52" s="32">
        <v>0.4</v>
      </c>
      <c r="K52" s="32">
        <v>0.4</v>
      </c>
      <c r="L52" s="32">
        <v>0.4</v>
      </c>
      <c r="M52" s="32">
        <v>0.9</v>
      </c>
      <c r="N52" s="32">
        <v>0.9</v>
      </c>
      <c r="O52" s="32">
        <v>0.9</v>
      </c>
      <c r="P52" s="32">
        <v>0.9</v>
      </c>
      <c r="Q52" s="32">
        <v>0.8</v>
      </c>
      <c r="R52" s="32">
        <v>0.9</v>
      </c>
      <c r="S52" s="32">
        <v>0.9</v>
      </c>
      <c r="T52" s="32">
        <v>0.9</v>
      </c>
      <c r="U52" s="32">
        <v>0.9</v>
      </c>
      <c r="V52" s="32">
        <v>0.5</v>
      </c>
      <c r="W52" s="32">
        <v>0.4</v>
      </c>
      <c r="X52" s="32">
        <v>0.4</v>
      </c>
      <c r="Y52" s="32">
        <v>0.4</v>
      </c>
      <c r="Z52" s="32">
        <v>0.4</v>
      </c>
      <c r="AA52" s="32">
        <v>0.4</v>
      </c>
      <c r="AB52" s="32">
        <v>0.4</v>
      </c>
    </row>
    <row r="53" spans="1:28" x14ac:dyDescent="0.3">
      <c r="A53" s="29" t="s">
        <v>56</v>
      </c>
      <c r="B53" s="29" t="s">
        <v>126</v>
      </c>
      <c r="C53" s="29" t="s">
        <v>123</v>
      </c>
      <c r="D53" s="29" t="s">
        <v>124</v>
      </c>
      <c r="E53" s="32">
        <v>0.3</v>
      </c>
      <c r="F53" s="32">
        <v>0.3</v>
      </c>
      <c r="G53" s="32">
        <v>0.3</v>
      </c>
      <c r="H53" s="32">
        <v>0.3</v>
      </c>
      <c r="I53" s="32">
        <v>0.3</v>
      </c>
      <c r="J53" s="32">
        <v>0.3</v>
      </c>
      <c r="K53" s="32">
        <v>0.4</v>
      </c>
      <c r="L53" s="32">
        <v>0.4</v>
      </c>
      <c r="M53" s="32">
        <v>0.5</v>
      </c>
      <c r="N53" s="32">
        <v>0.5</v>
      </c>
      <c r="O53" s="32">
        <v>0.5</v>
      </c>
      <c r="P53" s="32">
        <v>0.5</v>
      </c>
      <c r="Q53" s="32">
        <v>0.35</v>
      </c>
      <c r="R53" s="32">
        <v>0.35</v>
      </c>
      <c r="S53" s="32">
        <v>0.35</v>
      </c>
      <c r="T53" s="32">
        <v>0.35</v>
      </c>
      <c r="U53" s="32">
        <v>0.35</v>
      </c>
      <c r="V53" s="32">
        <v>0.3</v>
      </c>
      <c r="W53" s="32">
        <v>0.3</v>
      </c>
      <c r="X53" s="32">
        <v>0.3</v>
      </c>
      <c r="Y53" s="32">
        <v>0.3</v>
      </c>
      <c r="Z53" s="32">
        <v>0.3</v>
      </c>
      <c r="AA53" s="32">
        <v>0.3</v>
      </c>
      <c r="AB53" s="32">
        <v>0.3</v>
      </c>
    </row>
    <row r="54" spans="1:28" x14ac:dyDescent="0.3">
      <c r="A54" s="29" t="s">
        <v>56</v>
      </c>
      <c r="B54" s="29" t="s">
        <v>126</v>
      </c>
      <c r="C54" s="29" t="s">
        <v>123</v>
      </c>
      <c r="D54" s="29" t="s">
        <v>125</v>
      </c>
      <c r="E54" s="32">
        <v>0.3</v>
      </c>
      <c r="F54" s="32">
        <v>0.3</v>
      </c>
      <c r="G54" s="32">
        <v>0.3</v>
      </c>
      <c r="H54" s="32">
        <v>0.3</v>
      </c>
      <c r="I54" s="32">
        <v>0.3</v>
      </c>
      <c r="J54" s="32">
        <v>0.3</v>
      </c>
      <c r="K54" s="32">
        <v>0.3</v>
      </c>
      <c r="L54" s="32">
        <v>0.3</v>
      </c>
      <c r="M54" s="32">
        <v>0.3</v>
      </c>
      <c r="N54" s="32">
        <v>0.3</v>
      </c>
      <c r="O54" s="32">
        <v>0.3</v>
      </c>
      <c r="P54" s="32">
        <v>0.3</v>
      </c>
      <c r="Q54" s="32">
        <v>0.3</v>
      </c>
      <c r="R54" s="32">
        <v>0.3</v>
      </c>
      <c r="S54" s="32">
        <v>0.3</v>
      </c>
      <c r="T54" s="32">
        <v>0.3</v>
      </c>
      <c r="U54" s="32">
        <v>0.3</v>
      </c>
      <c r="V54" s="32">
        <v>0.3</v>
      </c>
      <c r="W54" s="32">
        <v>0.3</v>
      </c>
      <c r="X54" s="32">
        <v>0.3</v>
      </c>
      <c r="Y54" s="32">
        <v>0.3</v>
      </c>
      <c r="Z54" s="32">
        <v>0.3</v>
      </c>
      <c r="AA54" s="32">
        <v>0.3</v>
      </c>
      <c r="AB54" s="32">
        <v>0.3</v>
      </c>
    </row>
    <row r="55" spans="1:28" x14ac:dyDescent="0.3">
      <c r="A55" s="29" t="s">
        <v>56</v>
      </c>
      <c r="B55" s="29" t="s">
        <v>128</v>
      </c>
      <c r="C55" s="29" t="s">
        <v>123</v>
      </c>
      <c r="D55" s="29" t="s">
        <v>127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1</v>
      </c>
      <c r="L55" s="32">
        <v>1</v>
      </c>
      <c r="M55" s="32">
        <v>1</v>
      </c>
      <c r="N55" s="32">
        <v>1</v>
      </c>
      <c r="O55" s="32">
        <v>1</v>
      </c>
      <c r="P55" s="32">
        <v>1</v>
      </c>
      <c r="Q55" s="32">
        <v>1</v>
      </c>
      <c r="R55" s="32">
        <v>1</v>
      </c>
      <c r="S55" s="32">
        <v>1</v>
      </c>
      <c r="T55" s="32">
        <v>1</v>
      </c>
      <c r="U55" s="32">
        <v>1</v>
      </c>
      <c r="V55" s="32">
        <v>1</v>
      </c>
      <c r="W55" s="32">
        <v>1</v>
      </c>
      <c r="X55" s="32">
        <v>1</v>
      </c>
      <c r="Y55" s="32">
        <v>1</v>
      </c>
      <c r="Z55" s="32">
        <v>1</v>
      </c>
      <c r="AA55" s="32">
        <v>0</v>
      </c>
      <c r="AB55" s="32">
        <v>0</v>
      </c>
    </row>
    <row r="56" spans="1:28" x14ac:dyDescent="0.3">
      <c r="A56" s="29" t="s">
        <v>56</v>
      </c>
      <c r="B56" s="29" t="s">
        <v>128</v>
      </c>
      <c r="C56" s="29" t="s">
        <v>123</v>
      </c>
      <c r="D56" s="29" t="s">
        <v>124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1</v>
      </c>
      <c r="L56" s="32">
        <v>1</v>
      </c>
      <c r="M56" s="32">
        <v>1</v>
      </c>
      <c r="N56" s="32">
        <v>1</v>
      </c>
      <c r="O56" s="32">
        <v>1</v>
      </c>
      <c r="P56" s="32">
        <v>1</v>
      </c>
      <c r="Q56" s="32">
        <v>1</v>
      </c>
      <c r="R56" s="32">
        <v>1</v>
      </c>
      <c r="S56" s="32">
        <v>1</v>
      </c>
      <c r="T56" s="32">
        <v>1</v>
      </c>
      <c r="U56" s="32">
        <v>1</v>
      </c>
      <c r="V56" s="32">
        <v>1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0</v>
      </c>
    </row>
    <row r="57" spans="1:28" x14ac:dyDescent="0.3">
      <c r="A57" s="29" t="s">
        <v>56</v>
      </c>
      <c r="B57" s="29" t="s">
        <v>128</v>
      </c>
      <c r="C57" s="29" t="s">
        <v>123</v>
      </c>
      <c r="D57" s="29" t="s">
        <v>125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  <c r="Y57" s="32">
        <v>0</v>
      </c>
      <c r="Z57" s="32">
        <v>0</v>
      </c>
      <c r="AA57" s="32">
        <v>0</v>
      </c>
      <c r="AB57" s="32">
        <v>0</v>
      </c>
    </row>
    <row r="58" spans="1:28" x14ac:dyDescent="0.3">
      <c r="A58" s="29" t="s">
        <v>56</v>
      </c>
      <c r="B58" s="29" t="s">
        <v>129</v>
      </c>
      <c r="C58" s="29" t="s">
        <v>123</v>
      </c>
      <c r="D58" s="29" t="s">
        <v>127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7.0000000000000007E-2</v>
      </c>
      <c r="L58" s="32">
        <v>0.19</v>
      </c>
      <c r="M58" s="32">
        <v>0.35</v>
      </c>
      <c r="N58" s="32">
        <v>0.38</v>
      </c>
      <c r="O58" s="32">
        <v>0.39</v>
      </c>
      <c r="P58" s="32">
        <v>0.47</v>
      </c>
      <c r="Q58" s="32">
        <v>0.56999999999999995</v>
      </c>
      <c r="R58" s="32">
        <v>0.54</v>
      </c>
      <c r="S58" s="32">
        <v>0.34</v>
      </c>
      <c r="T58" s="32">
        <v>0.33</v>
      </c>
      <c r="U58" s="32">
        <v>0.44</v>
      </c>
      <c r="V58" s="32">
        <v>0.26</v>
      </c>
      <c r="W58" s="32">
        <v>0.21</v>
      </c>
      <c r="X58" s="32">
        <v>0.15</v>
      </c>
      <c r="Y58" s="32">
        <v>0.17</v>
      </c>
      <c r="Z58" s="32">
        <v>0.08</v>
      </c>
      <c r="AA58" s="32">
        <v>0.05</v>
      </c>
      <c r="AB58" s="32">
        <v>0.05</v>
      </c>
    </row>
    <row r="59" spans="1:28" x14ac:dyDescent="0.3">
      <c r="A59" s="29" t="s">
        <v>56</v>
      </c>
      <c r="B59" s="29" t="s">
        <v>129</v>
      </c>
      <c r="C59" s="29" t="s">
        <v>123</v>
      </c>
      <c r="D59" s="29" t="s">
        <v>124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7.0000000000000007E-2</v>
      </c>
      <c r="L59" s="32">
        <v>0.11</v>
      </c>
      <c r="M59" s="32">
        <v>0.15</v>
      </c>
      <c r="N59" s="32">
        <v>0.21</v>
      </c>
      <c r="O59" s="32">
        <v>0.19</v>
      </c>
      <c r="P59" s="32">
        <v>0.23</v>
      </c>
      <c r="Q59" s="32">
        <v>0.2</v>
      </c>
      <c r="R59" s="32">
        <v>0.19</v>
      </c>
      <c r="S59" s="32">
        <v>0.15</v>
      </c>
      <c r="T59" s="32">
        <v>0.13</v>
      </c>
      <c r="U59" s="32">
        <v>0.14000000000000001</v>
      </c>
      <c r="V59" s="32">
        <v>7.0000000000000007E-2</v>
      </c>
      <c r="W59" s="32">
        <v>7.0000000000000007E-2</v>
      </c>
      <c r="X59" s="32">
        <v>0</v>
      </c>
      <c r="Y59" s="32">
        <v>0</v>
      </c>
      <c r="Z59" s="32">
        <v>0</v>
      </c>
      <c r="AA59" s="32">
        <v>0</v>
      </c>
      <c r="AB59" s="32">
        <v>0</v>
      </c>
    </row>
    <row r="60" spans="1:28" x14ac:dyDescent="0.3">
      <c r="A60" s="29" t="s">
        <v>56</v>
      </c>
      <c r="B60" s="29" t="s">
        <v>129</v>
      </c>
      <c r="C60" s="29" t="s">
        <v>123</v>
      </c>
      <c r="D60" s="29" t="s">
        <v>125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0.04</v>
      </c>
      <c r="L60" s="32">
        <v>0.04</v>
      </c>
      <c r="M60" s="32">
        <v>0.04</v>
      </c>
      <c r="N60" s="32">
        <v>0.04</v>
      </c>
      <c r="O60" s="32">
        <v>0.04</v>
      </c>
      <c r="P60" s="32">
        <v>0.06</v>
      </c>
      <c r="Q60" s="32">
        <v>0.06</v>
      </c>
      <c r="R60" s="32">
        <v>0.09</v>
      </c>
      <c r="S60" s="32">
        <v>0.06</v>
      </c>
      <c r="T60" s="32">
        <v>0.04</v>
      </c>
      <c r="U60" s="32">
        <v>0.04</v>
      </c>
      <c r="V60" s="32">
        <v>0.04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</row>
    <row r="61" spans="1:28" x14ac:dyDescent="0.3">
      <c r="A61" s="29" t="s">
        <v>56</v>
      </c>
      <c r="B61" s="29" t="s">
        <v>130</v>
      </c>
      <c r="C61" s="29" t="s">
        <v>123</v>
      </c>
      <c r="D61" s="29" t="s">
        <v>127</v>
      </c>
      <c r="E61" s="32">
        <v>0.12</v>
      </c>
      <c r="F61" s="32">
        <v>0.12</v>
      </c>
      <c r="G61" s="32">
        <v>0.12</v>
      </c>
      <c r="H61" s="32">
        <v>0.12</v>
      </c>
      <c r="I61" s="32">
        <v>0.12</v>
      </c>
      <c r="J61" s="32">
        <v>0.12</v>
      </c>
      <c r="K61" s="32">
        <v>0.12</v>
      </c>
      <c r="L61" s="32">
        <v>0.35</v>
      </c>
      <c r="M61" s="32">
        <v>0.69</v>
      </c>
      <c r="N61" s="32">
        <v>0.43</v>
      </c>
      <c r="O61" s="32">
        <v>0.37</v>
      </c>
      <c r="P61" s="32">
        <v>0.43</v>
      </c>
      <c r="Q61" s="32">
        <v>0.57999999999999996</v>
      </c>
      <c r="R61" s="32">
        <v>0.48</v>
      </c>
      <c r="S61" s="32">
        <v>0.37</v>
      </c>
      <c r="T61" s="32">
        <v>0.37</v>
      </c>
      <c r="U61" s="32">
        <v>0.46</v>
      </c>
      <c r="V61" s="32">
        <v>0.62</v>
      </c>
      <c r="W61" s="32">
        <v>0.12</v>
      </c>
      <c r="X61" s="32">
        <v>0.12</v>
      </c>
      <c r="Y61" s="32">
        <v>0.12</v>
      </c>
      <c r="Z61" s="32">
        <v>0.12</v>
      </c>
      <c r="AA61" s="32">
        <v>0.12</v>
      </c>
      <c r="AB61" s="32">
        <v>0.12</v>
      </c>
    </row>
    <row r="62" spans="1:28" x14ac:dyDescent="0.3">
      <c r="A62" s="29" t="s">
        <v>56</v>
      </c>
      <c r="B62" s="29" t="s">
        <v>130</v>
      </c>
      <c r="C62" s="29" t="s">
        <v>123</v>
      </c>
      <c r="D62" s="29" t="s">
        <v>124</v>
      </c>
      <c r="E62" s="32">
        <v>0.12</v>
      </c>
      <c r="F62" s="32">
        <v>0.12</v>
      </c>
      <c r="G62" s="32">
        <v>0.12</v>
      </c>
      <c r="H62" s="32">
        <v>0.12</v>
      </c>
      <c r="I62" s="32">
        <v>0.12</v>
      </c>
      <c r="J62" s="32">
        <v>0.12</v>
      </c>
      <c r="K62" s="32">
        <v>0.12</v>
      </c>
      <c r="L62" s="32">
        <v>0.16</v>
      </c>
      <c r="M62" s="32">
        <v>0.14000000000000001</v>
      </c>
      <c r="N62" s="32">
        <v>0.21</v>
      </c>
      <c r="O62" s="32">
        <v>0.18</v>
      </c>
      <c r="P62" s="32">
        <v>0.25</v>
      </c>
      <c r="Q62" s="32">
        <v>0.21</v>
      </c>
      <c r="R62" s="32">
        <v>0.13</v>
      </c>
      <c r="S62" s="32">
        <v>0.12</v>
      </c>
      <c r="T62" s="32">
        <v>0.12</v>
      </c>
      <c r="U62" s="32">
        <v>0.12</v>
      </c>
      <c r="V62" s="32">
        <v>0.12</v>
      </c>
      <c r="W62" s="32">
        <v>0.12</v>
      </c>
      <c r="X62" s="32">
        <v>0.12</v>
      </c>
      <c r="Y62" s="32">
        <v>0.12</v>
      </c>
      <c r="Z62" s="32">
        <v>0.12</v>
      </c>
      <c r="AA62" s="32">
        <v>0.12</v>
      </c>
      <c r="AB62" s="32">
        <v>0.12</v>
      </c>
    </row>
    <row r="63" spans="1:28" x14ac:dyDescent="0.3">
      <c r="A63" s="29" t="s">
        <v>56</v>
      </c>
      <c r="B63" s="29" t="s">
        <v>130</v>
      </c>
      <c r="C63" s="29" t="s">
        <v>123</v>
      </c>
      <c r="D63" s="29" t="s">
        <v>125</v>
      </c>
      <c r="E63" s="32">
        <v>0.12</v>
      </c>
      <c r="F63" s="32">
        <v>0.12</v>
      </c>
      <c r="G63" s="32">
        <v>0.12</v>
      </c>
      <c r="H63" s="32">
        <v>0.12</v>
      </c>
      <c r="I63" s="32">
        <v>0.12</v>
      </c>
      <c r="J63" s="32">
        <v>0.12</v>
      </c>
      <c r="K63" s="32">
        <v>0.12</v>
      </c>
      <c r="L63" s="32">
        <v>0.12</v>
      </c>
      <c r="M63" s="32">
        <v>0.12</v>
      </c>
      <c r="N63" s="32">
        <v>0.12</v>
      </c>
      <c r="O63" s="32">
        <v>0.12</v>
      </c>
      <c r="P63" s="32">
        <v>0.12</v>
      </c>
      <c r="Q63" s="32">
        <v>0.12</v>
      </c>
      <c r="R63" s="32">
        <v>0.12</v>
      </c>
      <c r="S63" s="32">
        <v>0.12</v>
      </c>
      <c r="T63" s="32">
        <v>0.12</v>
      </c>
      <c r="U63" s="32">
        <v>0.12</v>
      </c>
      <c r="V63" s="32">
        <v>0.12</v>
      </c>
      <c r="W63" s="32">
        <v>0.12</v>
      </c>
      <c r="X63" s="32">
        <v>0.12</v>
      </c>
      <c r="Y63" s="32">
        <v>0.12</v>
      </c>
      <c r="Z63" s="32">
        <v>0.12</v>
      </c>
      <c r="AA63" s="32">
        <v>0.12</v>
      </c>
      <c r="AB63" s="32">
        <v>0.12</v>
      </c>
    </row>
    <row r="64" spans="1:28" x14ac:dyDescent="0.3">
      <c r="A64" s="29" t="s">
        <v>56</v>
      </c>
      <c r="B64" s="29" t="s">
        <v>131</v>
      </c>
      <c r="C64" s="29" t="s">
        <v>123</v>
      </c>
      <c r="D64" s="29" t="s">
        <v>127</v>
      </c>
      <c r="E64" s="32">
        <v>1</v>
      </c>
      <c r="F64" s="32">
        <v>1</v>
      </c>
      <c r="G64" s="32">
        <v>1</v>
      </c>
      <c r="H64" s="32">
        <v>1</v>
      </c>
      <c r="I64" s="32">
        <v>1</v>
      </c>
      <c r="J64" s="32">
        <v>1</v>
      </c>
      <c r="K64" s="32">
        <v>0.25</v>
      </c>
      <c r="L64" s="32">
        <v>0.25</v>
      </c>
      <c r="M64" s="32">
        <v>0.25</v>
      </c>
      <c r="N64" s="32">
        <v>0.25</v>
      </c>
      <c r="O64" s="32">
        <v>0.25</v>
      </c>
      <c r="P64" s="32">
        <v>0.25</v>
      </c>
      <c r="Q64" s="32">
        <v>0.25</v>
      </c>
      <c r="R64" s="32">
        <v>0.25</v>
      </c>
      <c r="S64" s="32">
        <v>0.25</v>
      </c>
      <c r="T64" s="32">
        <v>0.25</v>
      </c>
      <c r="U64" s="32">
        <v>0.25</v>
      </c>
      <c r="V64" s="32">
        <v>0.25</v>
      </c>
      <c r="W64" s="32">
        <v>0.25</v>
      </c>
      <c r="X64" s="32">
        <v>0.25</v>
      </c>
      <c r="Y64" s="32">
        <v>0.25</v>
      </c>
      <c r="Z64" s="32">
        <v>0.25</v>
      </c>
      <c r="AA64" s="32">
        <v>1</v>
      </c>
      <c r="AB64" s="32">
        <v>1</v>
      </c>
    </row>
    <row r="65" spans="1:28" x14ac:dyDescent="0.3">
      <c r="A65" s="29" t="s">
        <v>56</v>
      </c>
      <c r="B65" s="29" t="s">
        <v>131</v>
      </c>
      <c r="C65" s="29" t="s">
        <v>123</v>
      </c>
      <c r="D65" s="29" t="s">
        <v>124</v>
      </c>
      <c r="E65" s="32">
        <v>1</v>
      </c>
      <c r="F65" s="32">
        <v>1</v>
      </c>
      <c r="G65" s="32">
        <v>1</v>
      </c>
      <c r="H65" s="32">
        <v>1</v>
      </c>
      <c r="I65" s="32">
        <v>1</v>
      </c>
      <c r="J65" s="32">
        <v>1</v>
      </c>
      <c r="K65" s="32">
        <v>0.25</v>
      </c>
      <c r="L65" s="32">
        <v>0.25</v>
      </c>
      <c r="M65" s="32">
        <v>0.25</v>
      </c>
      <c r="N65" s="32">
        <v>0.25</v>
      </c>
      <c r="O65" s="32">
        <v>0.25</v>
      </c>
      <c r="P65" s="32">
        <v>0.25</v>
      </c>
      <c r="Q65" s="32">
        <v>0.25</v>
      </c>
      <c r="R65" s="32">
        <v>0.25</v>
      </c>
      <c r="S65" s="32">
        <v>0.25</v>
      </c>
      <c r="T65" s="32">
        <v>0.25</v>
      </c>
      <c r="U65" s="32">
        <v>0.25</v>
      </c>
      <c r="V65" s="32">
        <v>0.25</v>
      </c>
      <c r="W65" s="32">
        <v>1</v>
      </c>
      <c r="X65" s="32">
        <v>1</v>
      </c>
      <c r="Y65" s="32">
        <v>1</v>
      </c>
      <c r="Z65" s="32">
        <v>1</v>
      </c>
      <c r="AA65" s="32">
        <v>1</v>
      </c>
      <c r="AB65" s="32">
        <v>1</v>
      </c>
    </row>
    <row r="66" spans="1:28" x14ac:dyDescent="0.3">
      <c r="A66" s="29" t="s">
        <v>56</v>
      </c>
      <c r="B66" s="29" t="s">
        <v>131</v>
      </c>
      <c r="C66" s="29" t="s">
        <v>123</v>
      </c>
      <c r="D66" s="29" t="s">
        <v>125</v>
      </c>
      <c r="E66" s="32">
        <v>1</v>
      </c>
      <c r="F66" s="32">
        <v>1</v>
      </c>
      <c r="G66" s="32">
        <v>1</v>
      </c>
      <c r="H66" s="32">
        <v>1</v>
      </c>
      <c r="I66" s="32">
        <v>1</v>
      </c>
      <c r="J66" s="32">
        <v>1</v>
      </c>
      <c r="K66" s="32">
        <v>1</v>
      </c>
      <c r="L66" s="32">
        <v>1</v>
      </c>
      <c r="M66" s="32">
        <v>1</v>
      </c>
      <c r="N66" s="32">
        <v>1</v>
      </c>
      <c r="O66" s="32">
        <v>1</v>
      </c>
      <c r="P66" s="32">
        <v>1</v>
      </c>
      <c r="Q66" s="32">
        <v>1</v>
      </c>
      <c r="R66" s="32">
        <v>1</v>
      </c>
      <c r="S66" s="32">
        <v>1</v>
      </c>
      <c r="T66" s="32">
        <v>1</v>
      </c>
      <c r="U66" s="32">
        <v>1</v>
      </c>
      <c r="V66" s="32">
        <v>1</v>
      </c>
      <c r="W66" s="32">
        <v>1</v>
      </c>
      <c r="X66" s="32">
        <v>1</v>
      </c>
      <c r="Y66" s="32">
        <v>1</v>
      </c>
      <c r="Z66" s="32">
        <v>1</v>
      </c>
      <c r="AA66" s="32">
        <v>1</v>
      </c>
      <c r="AB66" s="32">
        <v>1</v>
      </c>
    </row>
    <row r="67" spans="1:28" x14ac:dyDescent="0.3">
      <c r="A67" s="29" t="s">
        <v>56</v>
      </c>
      <c r="B67" s="29" t="s">
        <v>132</v>
      </c>
      <c r="C67" s="29" t="s">
        <v>123</v>
      </c>
      <c r="D67" s="29" t="s">
        <v>127</v>
      </c>
      <c r="E67" s="32">
        <v>24</v>
      </c>
      <c r="F67" s="32">
        <v>24</v>
      </c>
      <c r="G67" s="32">
        <v>24</v>
      </c>
      <c r="H67" s="32">
        <v>24</v>
      </c>
      <c r="I67" s="32">
        <v>24</v>
      </c>
      <c r="J67" s="32">
        <v>24</v>
      </c>
      <c r="K67" s="32">
        <v>24</v>
      </c>
      <c r="L67" s="32">
        <v>24</v>
      </c>
      <c r="M67" s="32">
        <v>24</v>
      </c>
      <c r="N67" s="32">
        <v>24</v>
      </c>
      <c r="O67" s="32">
        <v>24</v>
      </c>
      <c r="P67" s="32">
        <v>24</v>
      </c>
      <c r="Q67" s="32">
        <v>24</v>
      </c>
      <c r="R67" s="32">
        <v>24</v>
      </c>
      <c r="S67" s="32">
        <v>24</v>
      </c>
      <c r="T67" s="32">
        <v>24</v>
      </c>
      <c r="U67" s="32">
        <v>24</v>
      </c>
      <c r="V67" s="32">
        <v>24</v>
      </c>
      <c r="W67" s="32">
        <v>24</v>
      </c>
      <c r="X67" s="32">
        <v>24</v>
      </c>
      <c r="Y67" s="32">
        <v>24</v>
      </c>
      <c r="Z67" s="32">
        <v>24</v>
      </c>
      <c r="AA67" s="32">
        <v>24</v>
      </c>
      <c r="AB67" s="32">
        <v>24</v>
      </c>
    </row>
    <row r="68" spans="1:28" x14ac:dyDescent="0.3">
      <c r="A68" s="29" t="s">
        <v>56</v>
      </c>
      <c r="B68" s="29" t="s">
        <v>132</v>
      </c>
      <c r="C68" s="29" t="s">
        <v>123</v>
      </c>
      <c r="D68" s="29" t="s">
        <v>124</v>
      </c>
      <c r="E68" s="32">
        <v>24</v>
      </c>
      <c r="F68" s="32">
        <v>24</v>
      </c>
      <c r="G68" s="32">
        <v>24</v>
      </c>
      <c r="H68" s="32">
        <v>24</v>
      </c>
      <c r="I68" s="32">
        <v>24</v>
      </c>
      <c r="J68" s="32">
        <v>24</v>
      </c>
      <c r="K68" s="32">
        <v>24</v>
      </c>
      <c r="L68" s="32">
        <v>24</v>
      </c>
      <c r="M68" s="32">
        <v>24</v>
      </c>
      <c r="N68" s="32">
        <v>24</v>
      </c>
      <c r="O68" s="32">
        <v>24</v>
      </c>
      <c r="P68" s="32">
        <v>24</v>
      </c>
      <c r="Q68" s="32">
        <v>24</v>
      </c>
      <c r="R68" s="32">
        <v>24</v>
      </c>
      <c r="S68" s="32">
        <v>24</v>
      </c>
      <c r="T68" s="32">
        <v>24</v>
      </c>
      <c r="U68" s="32">
        <v>24</v>
      </c>
      <c r="V68" s="32">
        <v>24</v>
      </c>
      <c r="W68" s="32">
        <v>24</v>
      </c>
      <c r="X68" s="32">
        <v>24</v>
      </c>
      <c r="Y68" s="32">
        <v>24</v>
      </c>
      <c r="Z68" s="32">
        <v>24</v>
      </c>
      <c r="AA68" s="32">
        <v>24</v>
      </c>
      <c r="AB68" s="32">
        <v>24</v>
      </c>
    </row>
    <row r="69" spans="1:28" x14ac:dyDescent="0.3">
      <c r="A69" s="29" t="s">
        <v>56</v>
      </c>
      <c r="B69" s="29" t="s">
        <v>132</v>
      </c>
      <c r="C69" s="29" t="s">
        <v>123</v>
      </c>
      <c r="D69" s="29" t="s">
        <v>125</v>
      </c>
      <c r="E69" s="32">
        <v>24</v>
      </c>
      <c r="F69" s="32">
        <v>24</v>
      </c>
      <c r="G69" s="32">
        <v>24</v>
      </c>
      <c r="H69" s="32">
        <v>24</v>
      </c>
      <c r="I69" s="32">
        <v>24</v>
      </c>
      <c r="J69" s="32">
        <v>24</v>
      </c>
      <c r="K69" s="32">
        <v>24</v>
      </c>
      <c r="L69" s="32">
        <v>24</v>
      </c>
      <c r="M69" s="32">
        <v>24</v>
      </c>
      <c r="N69" s="32">
        <v>24</v>
      </c>
      <c r="O69" s="32">
        <v>24</v>
      </c>
      <c r="P69" s="32">
        <v>24</v>
      </c>
      <c r="Q69" s="32">
        <v>24</v>
      </c>
      <c r="R69" s="32">
        <v>24</v>
      </c>
      <c r="S69" s="32">
        <v>24</v>
      </c>
      <c r="T69" s="32">
        <v>24</v>
      </c>
      <c r="U69" s="32">
        <v>24</v>
      </c>
      <c r="V69" s="32">
        <v>24</v>
      </c>
      <c r="W69" s="32">
        <v>24</v>
      </c>
      <c r="X69" s="32">
        <v>24</v>
      </c>
      <c r="Y69" s="32">
        <v>24</v>
      </c>
      <c r="Z69" s="32">
        <v>24</v>
      </c>
      <c r="AA69" s="32">
        <v>24</v>
      </c>
      <c r="AB69" s="32">
        <v>24</v>
      </c>
    </row>
    <row r="70" spans="1:28" x14ac:dyDescent="0.3">
      <c r="A70" s="29" t="s">
        <v>56</v>
      </c>
      <c r="B70" s="29" t="s">
        <v>133</v>
      </c>
      <c r="C70" s="29" t="s">
        <v>123</v>
      </c>
      <c r="D70" s="29" t="s">
        <v>127</v>
      </c>
      <c r="E70" s="32">
        <v>15.6</v>
      </c>
      <c r="F70" s="32">
        <v>15.6</v>
      </c>
      <c r="G70" s="32">
        <v>15.6</v>
      </c>
      <c r="H70" s="32">
        <v>15.6</v>
      </c>
      <c r="I70" s="32">
        <v>15.6</v>
      </c>
      <c r="J70" s="32">
        <v>21</v>
      </c>
      <c r="K70" s="32">
        <v>21</v>
      </c>
      <c r="L70" s="32">
        <v>21</v>
      </c>
      <c r="M70" s="32">
        <v>21</v>
      </c>
      <c r="N70" s="32">
        <v>21</v>
      </c>
      <c r="O70" s="32">
        <v>21</v>
      </c>
      <c r="P70" s="32">
        <v>21</v>
      </c>
      <c r="Q70" s="32">
        <v>21</v>
      </c>
      <c r="R70" s="32">
        <v>21</v>
      </c>
      <c r="S70" s="32">
        <v>21</v>
      </c>
      <c r="T70" s="32">
        <v>21</v>
      </c>
      <c r="U70" s="32">
        <v>21</v>
      </c>
      <c r="V70" s="32">
        <v>21</v>
      </c>
      <c r="W70" s="32">
        <v>21</v>
      </c>
      <c r="X70" s="32">
        <v>21</v>
      </c>
      <c r="Y70" s="32">
        <v>21</v>
      </c>
      <c r="Z70" s="32">
        <v>21</v>
      </c>
      <c r="AA70" s="32">
        <v>15.6</v>
      </c>
      <c r="AB70" s="32">
        <v>15.6</v>
      </c>
    </row>
    <row r="71" spans="1:28" x14ac:dyDescent="0.3">
      <c r="A71" s="29" t="s">
        <v>56</v>
      </c>
      <c r="B71" s="29" t="s">
        <v>133</v>
      </c>
      <c r="C71" s="29" t="s">
        <v>123</v>
      </c>
      <c r="D71" s="29" t="s">
        <v>124</v>
      </c>
      <c r="E71" s="32">
        <v>15.6</v>
      </c>
      <c r="F71" s="32">
        <v>15.6</v>
      </c>
      <c r="G71" s="32">
        <v>15.6</v>
      </c>
      <c r="H71" s="32">
        <v>15.6</v>
      </c>
      <c r="I71" s="32">
        <v>15.6</v>
      </c>
      <c r="J71" s="32">
        <v>21</v>
      </c>
      <c r="K71" s="32">
        <v>21</v>
      </c>
      <c r="L71" s="32">
        <v>21</v>
      </c>
      <c r="M71" s="32">
        <v>21</v>
      </c>
      <c r="N71" s="32">
        <v>21</v>
      </c>
      <c r="O71" s="32">
        <v>21</v>
      </c>
      <c r="P71" s="32">
        <v>21</v>
      </c>
      <c r="Q71" s="32">
        <v>21</v>
      </c>
      <c r="R71" s="32">
        <v>21</v>
      </c>
      <c r="S71" s="32">
        <v>21</v>
      </c>
      <c r="T71" s="32">
        <v>21</v>
      </c>
      <c r="U71" s="32">
        <v>21</v>
      </c>
      <c r="V71" s="32">
        <v>15.6</v>
      </c>
      <c r="W71" s="32">
        <v>15.6</v>
      </c>
      <c r="X71" s="32">
        <v>15.6</v>
      </c>
      <c r="Y71" s="32">
        <v>15.6</v>
      </c>
      <c r="Z71" s="32">
        <v>15.6</v>
      </c>
      <c r="AA71" s="32">
        <v>15.6</v>
      </c>
      <c r="AB71" s="32">
        <v>15.6</v>
      </c>
    </row>
    <row r="72" spans="1:28" x14ac:dyDescent="0.3">
      <c r="A72" s="29" t="s">
        <v>56</v>
      </c>
      <c r="B72" s="29" t="s">
        <v>133</v>
      </c>
      <c r="C72" s="29" t="s">
        <v>123</v>
      </c>
      <c r="D72" s="29" t="s">
        <v>125</v>
      </c>
      <c r="E72" s="32">
        <v>15.6</v>
      </c>
      <c r="F72" s="32">
        <v>15.6</v>
      </c>
      <c r="G72" s="32">
        <v>15.6</v>
      </c>
      <c r="H72" s="32">
        <v>15.6</v>
      </c>
      <c r="I72" s="32">
        <v>15.6</v>
      </c>
      <c r="J72" s="32">
        <v>15.6</v>
      </c>
      <c r="K72" s="32">
        <v>15.6</v>
      </c>
      <c r="L72" s="32">
        <v>15.6</v>
      </c>
      <c r="M72" s="32">
        <v>15.6</v>
      </c>
      <c r="N72" s="32">
        <v>15.6</v>
      </c>
      <c r="O72" s="32">
        <v>15.6</v>
      </c>
      <c r="P72" s="32">
        <v>15.6</v>
      </c>
      <c r="Q72" s="32">
        <v>15.6</v>
      </c>
      <c r="R72" s="32">
        <v>15.6</v>
      </c>
      <c r="S72" s="32">
        <v>15.6</v>
      </c>
      <c r="T72" s="32">
        <v>15.6</v>
      </c>
      <c r="U72" s="32">
        <v>15.6</v>
      </c>
      <c r="V72" s="32">
        <v>15.6</v>
      </c>
      <c r="W72" s="32">
        <v>15.6</v>
      </c>
      <c r="X72" s="32">
        <v>15.6</v>
      </c>
      <c r="Y72" s="32">
        <v>15.6</v>
      </c>
      <c r="Z72" s="32">
        <v>15.6</v>
      </c>
      <c r="AA72" s="32">
        <v>15.6</v>
      </c>
      <c r="AB72" s="32">
        <v>15.6</v>
      </c>
    </row>
    <row r="73" spans="1:28" ht="28.5" x14ac:dyDescent="0.3">
      <c r="A73" s="1" t="s">
        <v>134</v>
      </c>
    </row>
    <row r="74" spans="1:28" ht="28.5" x14ac:dyDescent="0.3">
      <c r="A74" s="33" t="s">
        <v>135</v>
      </c>
      <c r="B74" s="33"/>
      <c r="C74" s="33"/>
      <c r="D74" s="33"/>
      <c r="E74" s="33"/>
    </row>
    <row r="75" spans="1:28" x14ac:dyDescent="0.3">
      <c r="A75" s="34" t="s">
        <v>136</v>
      </c>
      <c r="B75" s="34" t="s">
        <v>137</v>
      </c>
      <c r="C75" s="34" t="s">
        <v>138</v>
      </c>
      <c r="D75" s="34" t="s">
        <v>139</v>
      </c>
      <c r="E75" s="34" t="s">
        <v>140</v>
      </c>
    </row>
    <row r="76" spans="1:28" ht="28.5" x14ac:dyDescent="0.3">
      <c r="A76" s="35" t="s">
        <v>141</v>
      </c>
      <c r="B76" s="35" t="s">
        <v>142</v>
      </c>
      <c r="C76" s="35" t="s">
        <v>143</v>
      </c>
      <c r="D76" s="35" t="s">
        <v>144</v>
      </c>
      <c r="E76" s="35" t="s">
        <v>145</v>
      </c>
    </row>
    <row r="77" spans="1:28" x14ac:dyDescent="0.3">
      <c r="A77" s="35" t="s">
        <v>146</v>
      </c>
      <c r="B77" s="35" t="s">
        <v>147</v>
      </c>
      <c r="C77" s="35" t="s">
        <v>143</v>
      </c>
      <c r="D77" s="35" t="s">
        <v>144</v>
      </c>
      <c r="E77" s="35" t="s">
        <v>148</v>
      </c>
    </row>
    <row r="78" spans="1:28" ht="28.5" x14ac:dyDescent="0.3">
      <c r="A78" s="35" t="s">
        <v>149</v>
      </c>
      <c r="B78" s="35" t="s">
        <v>150</v>
      </c>
      <c r="C78" s="35" t="s">
        <v>143</v>
      </c>
      <c r="D78" s="35" t="s">
        <v>144</v>
      </c>
      <c r="E78" s="35" t="s">
        <v>151</v>
      </c>
    </row>
    <row r="79" spans="1:28" x14ac:dyDescent="0.3">
      <c r="A79" s="35" t="s">
        <v>152</v>
      </c>
      <c r="B79" s="35" t="s">
        <v>153</v>
      </c>
      <c r="C79" s="35" t="s">
        <v>143</v>
      </c>
      <c r="D79" s="35" t="s">
        <v>144</v>
      </c>
      <c r="E79" s="35" t="s">
        <v>148</v>
      </c>
    </row>
    <row r="80" spans="1:28" ht="28.5" x14ac:dyDescent="0.3">
      <c r="A80" s="35" t="s">
        <v>154</v>
      </c>
      <c r="B80" s="35" t="s">
        <v>155</v>
      </c>
      <c r="C80" s="35" t="s">
        <v>156</v>
      </c>
      <c r="D80" s="35" t="s">
        <v>144</v>
      </c>
      <c r="E80" s="35" t="s">
        <v>145</v>
      </c>
    </row>
    <row r="81" spans="1:5" ht="42.75" x14ac:dyDescent="0.3">
      <c r="A81" s="35" t="s">
        <v>157</v>
      </c>
      <c r="B81" s="35" t="s">
        <v>158</v>
      </c>
      <c r="C81" s="35" t="s">
        <v>156</v>
      </c>
      <c r="D81" s="35" t="s">
        <v>144</v>
      </c>
      <c r="E81" s="35" t="s">
        <v>159</v>
      </c>
    </row>
    <row r="82" spans="1:5" x14ac:dyDescent="0.3">
      <c r="A82" s="35" t="s">
        <v>160</v>
      </c>
      <c r="B82" s="35" t="s">
        <v>161</v>
      </c>
      <c r="C82" s="35" t="s">
        <v>156</v>
      </c>
      <c r="D82" s="35" t="s">
        <v>162</v>
      </c>
      <c r="E82" s="35" t="s">
        <v>145</v>
      </c>
    </row>
    <row r="83" spans="1:5" ht="28.5" x14ac:dyDescent="0.3">
      <c r="A83" s="35" t="s">
        <v>163</v>
      </c>
      <c r="B83" s="35" t="s">
        <v>164</v>
      </c>
      <c r="C83" s="35" t="s">
        <v>156</v>
      </c>
      <c r="D83" s="35" t="s">
        <v>162</v>
      </c>
      <c r="E83" s="35" t="s">
        <v>159</v>
      </c>
    </row>
    <row r="84" spans="1:5" x14ac:dyDescent="0.3">
      <c r="A84" s="35" t="s">
        <v>165</v>
      </c>
      <c r="B84" s="35" t="s">
        <v>166</v>
      </c>
      <c r="C84" s="35" t="s">
        <v>143</v>
      </c>
      <c r="D84" s="35" t="s">
        <v>167</v>
      </c>
      <c r="E84" s="35" t="s">
        <v>151</v>
      </c>
    </row>
    <row r="85" spans="1:5" x14ac:dyDescent="0.3">
      <c r="A85" s="35" t="s">
        <v>168</v>
      </c>
      <c r="B85" s="35" t="s">
        <v>169</v>
      </c>
      <c r="C85" s="35" t="s">
        <v>143</v>
      </c>
      <c r="D85" s="35" t="s">
        <v>167</v>
      </c>
      <c r="E85" s="35" t="s">
        <v>159</v>
      </c>
    </row>
    <row r="86" spans="1:5" x14ac:dyDescent="0.3">
      <c r="A86" s="35" t="s">
        <v>170</v>
      </c>
      <c r="B86" s="35" t="s">
        <v>171</v>
      </c>
      <c r="C86" s="35" t="s">
        <v>156</v>
      </c>
      <c r="D86" s="35" t="s">
        <v>162</v>
      </c>
      <c r="E86" s="35" t="s">
        <v>172</v>
      </c>
    </row>
    <row r="87" spans="1:5" x14ac:dyDescent="0.3">
      <c r="A87" s="35" t="s">
        <v>173</v>
      </c>
      <c r="B87" s="35" t="s">
        <v>174</v>
      </c>
      <c r="C87" s="35" t="s">
        <v>143</v>
      </c>
      <c r="D87" s="35" t="s">
        <v>162</v>
      </c>
      <c r="E87" s="35" t="s">
        <v>145</v>
      </c>
    </row>
    <row r="88" spans="1:5" x14ac:dyDescent="0.3">
      <c r="A88" s="35" t="s">
        <v>175</v>
      </c>
      <c r="B88" s="35" t="s">
        <v>174</v>
      </c>
      <c r="C88" s="35" t="s">
        <v>143</v>
      </c>
      <c r="D88" s="35" t="s">
        <v>162</v>
      </c>
      <c r="E88" s="35" t="s">
        <v>159</v>
      </c>
    </row>
    <row r="89" spans="1:5" ht="42.75" x14ac:dyDescent="0.3">
      <c r="A89" s="36" t="s">
        <v>176</v>
      </c>
      <c r="B89" s="36" t="s">
        <v>177</v>
      </c>
      <c r="C89" s="36" t="s">
        <v>143</v>
      </c>
      <c r="D89" s="36" t="s">
        <v>178</v>
      </c>
      <c r="E89" s="36" t="s">
        <v>145</v>
      </c>
    </row>
    <row r="90" spans="1:5" x14ac:dyDescent="0.3">
      <c r="A90" s="36" t="s">
        <v>179</v>
      </c>
      <c r="B90" s="36" t="s">
        <v>180</v>
      </c>
      <c r="C90" s="36" t="s">
        <v>143</v>
      </c>
      <c r="D90" s="36" t="s">
        <v>178</v>
      </c>
      <c r="E90" s="36" t="s">
        <v>181</v>
      </c>
    </row>
    <row r="91" spans="1:5" ht="42.75" x14ac:dyDescent="0.3">
      <c r="A91" s="35" t="s">
        <v>182</v>
      </c>
      <c r="B91" s="35" t="s">
        <v>183</v>
      </c>
      <c r="C91" s="35" t="s">
        <v>143</v>
      </c>
      <c r="D91" s="35" t="s">
        <v>144</v>
      </c>
      <c r="E91" s="35" t="s">
        <v>159</v>
      </c>
    </row>
    <row r="92" spans="1:5" ht="42.75" x14ac:dyDescent="0.3">
      <c r="A92" s="35" t="s">
        <v>184</v>
      </c>
      <c r="B92" s="35" t="s">
        <v>185</v>
      </c>
      <c r="C92" s="35" t="s">
        <v>186</v>
      </c>
      <c r="D92" s="35" t="s">
        <v>144</v>
      </c>
      <c r="E92" s="35" t="s">
        <v>151</v>
      </c>
    </row>
    <row r="93" spans="1:5" ht="28.5" x14ac:dyDescent="0.3">
      <c r="A93" s="35" t="s">
        <v>187</v>
      </c>
      <c r="B93" s="35"/>
      <c r="C93" s="35"/>
      <c r="D93" s="35"/>
      <c r="E93" s="35"/>
    </row>
    <row r="94" spans="1:5" ht="28.5" x14ac:dyDescent="0.3">
      <c r="A94" s="35" t="s">
        <v>188</v>
      </c>
      <c r="B94" s="35" t="s">
        <v>189</v>
      </c>
      <c r="C94" s="35" t="s">
        <v>186</v>
      </c>
      <c r="D94" s="35" t="s">
        <v>144</v>
      </c>
      <c r="E94" s="35" t="s">
        <v>148</v>
      </c>
    </row>
    <row r="95" spans="1:5" ht="28.5" x14ac:dyDescent="0.3">
      <c r="A95" s="35" t="s">
        <v>190</v>
      </c>
      <c r="B95" s="35" t="s">
        <v>191</v>
      </c>
      <c r="C95" s="35" t="s">
        <v>143</v>
      </c>
      <c r="D95" s="35" t="s">
        <v>144</v>
      </c>
      <c r="E95" s="35" t="s">
        <v>148</v>
      </c>
    </row>
    <row r="96" spans="1:5" ht="42.75" x14ac:dyDescent="0.3">
      <c r="A96" s="35" t="s">
        <v>192</v>
      </c>
      <c r="B96" s="35"/>
      <c r="C96" s="35"/>
      <c r="D96" s="35"/>
      <c r="E96" s="35"/>
    </row>
    <row r="97" spans="1:5" ht="42.75" x14ac:dyDescent="0.3">
      <c r="A97" s="36" t="s">
        <v>58</v>
      </c>
      <c r="B97" s="36" t="s">
        <v>193</v>
      </c>
      <c r="C97" s="36" t="s">
        <v>156</v>
      </c>
      <c r="D97" s="36" t="s">
        <v>144</v>
      </c>
      <c r="E97" s="36" t="s">
        <v>194</v>
      </c>
    </row>
    <row r="98" spans="1:5" ht="42.75" x14ac:dyDescent="0.3">
      <c r="A98" s="36" t="s">
        <v>195</v>
      </c>
      <c r="B98" s="36" t="s">
        <v>196</v>
      </c>
      <c r="C98" s="36" t="s">
        <v>156</v>
      </c>
      <c r="D98" s="36" t="s">
        <v>144</v>
      </c>
      <c r="E98" s="36" t="s">
        <v>197</v>
      </c>
    </row>
    <row r="99" spans="1:5" ht="28.5" x14ac:dyDescent="0.3">
      <c r="A99" s="35" t="s">
        <v>198</v>
      </c>
      <c r="B99" s="35" t="s">
        <v>199</v>
      </c>
      <c r="C99" s="35" t="s">
        <v>156</v>
      </c>
      <c r="D99" s="35" t="s">
        <v>162</v>
      </c>
      <c r="E99" s="35" t="s">
        <v>159</v>
      </c>
    </row>
    <row r="100" spans="1:5" ht="42.75" x14ac:dyDescent="0.3">
      <c r="A100" s="35" t="s">
        <v>200</v>
      </c>
      <c r="B100" s="35" t="s">
        <v>201</v>
      </c>
      <c r="C100" s="35" t="s">
        <v>156</v>
      </c>
      <c r="D100" s="35" t="s">
        <v>162</v>
      </c>
      <c r="E100" s="35" t="s">
        <v>202</v>
      </c>
    </row>
    <row r="101" spans="1:5" ht="28.5" x14ac:dyDescent="0.3">
      <c r="A101" s="35" t="s">
        <v>203</v>
      </c>
      <c r="B101" s="35" t="s">
        <v>171</v>
      </c>
      <c r="C101" s="35" t="s">
        <v>156</v>
      </c>
      <c r="D101" s="35" t="s">
        <v>162</v>
      </c>
      <c r="E101" s="35" t="s">
        <v>145</v>
      </c>
    </row>
    <row r="102" spans="1:5" ht="28.5" x14ac:dyDescent="0.3">
      <c r="A102" s="35" t="s">
        <v>204</v>
      </c>
      <c r="B102" s="35" t="s">
        <v>171</v>
      </c>
      <c r="C102" s="35" t="s">
        <v>156</v>
      </c>
      <c r="D102" s="35" t="s">
        <v>162</v>
      </c>
      <c r="E102" s="35" t="s">
        <v>159</v>
      </c>
    </row>
    <row r="103" spans="1:5" ht="28.5" x14ac:dyDescent="0.3">
      <c r="A103" s="35" t="s">
        <v>205</v>
      </c>
      <c r="B103" s="35" t="s">
        <v>206</v>
      </c>
      <c r="C103" s="35" t="s">
        <v>143</v>
      </c>
      <c r="D103" s="35" t="s">
        <v>178</v>
      </c>
      <c r="E103" s="35" t="s">
        <v>207</v>
      </c>
    </row>
    <row r="104" spans="1:5" x14ac:dyDescent="0.3">
      <c r="A104" s="35" t="s">
        <v>208</v>
      </c>
      <c r="B104" s="35" t="s">
        <v>209</v>
      </c>
      <c r="C104" s="35" t="s">
        <v>143</v>
      </c>
      <c r="D104" s="35" t="s">
        <v>162</v>
      </c>
      <c r="E104" s="35" t="s">
        <v>145</v>
      </c>
    </row>
    <row r="105" spans="1:5" ht="28.5" x14ac:dyDescent="0.3">
      <c r="A105" s="35" t="s">
        <v>210</v>
      </c>
      <c r="B105" s="35" t="s">
        <v>211</v>
      </c>
      <c r="C105" s="35" t="s">
        <v>143</v>
      </c>
      <c r="D105" s="35" t="s">
        <v>162</v>
      </c>
      <c r="E105" s="35" t="s">
        <v>145</v>
      </c>
    </row>
    <row r="106" spans="1:5" ht="57" x14ac:dyDescent="0.3">
      <c r="A106" s="35" t="s">
        <v>212</v>
      </c>
      <c r="B106" s="36" t="s">
        <v>213</v>
      </c>
      <c r="C106" s="35"/>
      <c r="D106" s="35"/>
      <c r="E106" s="35"/>
    </row>
    <row r="107" spans="1:5" ht="28.5" x14ac:dyDescent="0.3">
      <c r="A107" s="35" t="s">
        <v>214</v>
      </c>
      <c r="B107" s="35" t="s">
        <v>215</v>
      </c>
      <c r="C107" s="35" t="s">
        <v>216</v>
      </c>
      <c r="D107" s="35" t="s">
        <v>144</v>
      </c>
      <c r="E107" s="35" t="s">
        <v>148</v>
      </c>
    </row>
    <row r="108" spans="1:5" x14ac:dyDescent="0.3">
      <c r="A108" s="35" t="s">
        <v>217</v>
      </c>
      <c r="B108" s="35"/>
      <c r="C108" s="35"/>
      <c r="D108" s="35"/>
      <c r="E108" s="35"/>
    </row>
    <row r="109" spans="1:5" x14ac:dyDescent="0.3">
      <c r="A109" s="35" t="s">
        <v>218</v>
      </c>
      <c r="B109" s="35"/>
      <c r="C109" s="35"/>
      <c r="D109" s="35"/>
      <c r="E109" s="35"/>
    </row>
    <row r="110" spans="1:5" x14ac:dyDescent="0.3">
      <c r="A110" s="33"/>
      <c r="B110" s="33"/>
      <c r="C110" s="33"/>
      <c r="D110" s="33"/>
      <c r="E110" s="33"/>
    </row>
    <row r="111" spans="1:5" ht="42.75" customHeight="1" x14ac:dyDescent="0.3">
      <c r="A111" s="45" t="s">
        <v>219</v>
      </c>
      <c r="B111" s="45"/>
      <c r="C111" s="45"/>
      <c r="D111" s="33"/>
      <c r="E111" s="33"/>
    </row>
    <row r="112" spans="1:5" ht="85.5" customHeight="1" x14ac:dyDescent="0.3">
      <c r="A112" s="45" t="s">
        <v>220</v>
      </c>
      <c r="B112" s="45"/>
      <c r="C112" s="45"/>
      <c r="D112" s="33"/>
      <c r="E112" s="33"/>
    </row>
  </sheetData>
  <mergeCells count="32">
    <mergeCell ref="A111:C111"/>
    <mergeCell ref="A112:C112"/>
    <mergeCell ref="U19:U20"/>
    <mergeCell ref="V19:V20"/>
    <mergeCell ref="W19:W20"/>
    <mergeCell ref="B44:C44"/>
    <mergeCell ref="D44:F44"/>
    <mergeCell ref="G44:I44"/>
    <mergeCell ref="L19:L20"/>
    <mergeCell ref="N19:N20"/>
    <mergeCell ref="O19:O20"/>
    <mergeCell ref="P19:P20"/>
    <mergeCell ref="Q19:S19"/>
    <mergeCell ref="T19:T20"/>
    <mergeCell ref="F19:F20"/>
    <mergeCell ref="G19:G20"/>
    <mergeCell ref="H19:H20"/>
    <mergeCell ref="I19:I20"/>
    <mergeCell ref="J19:J20"/>
    <mergeCell ref="K19:K20"/>
    <mergeCell ref="A12:A13"/>
    <mergeCell ref="A19:A20"/>
    <mergeCell ref="B19:B20"/>
    <mergeCell ref="C19:C20"/>
    <mergeCell ref="D19:D20"/>
    <mergeCell ref="E19:E20"/>
    <mergeCell ref="A10:A11"/>
    <mergeCell ref="A2:B2"/>
    <mergeCell ref="A4:B4"/>
    <mergeCell ref="A6:B6"/>
    <mergeCell ref="A7:B7"/>
    <mergeCell ref="A8:B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 CHI MINH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횡롄팠</dc:creator>
  <cp:lastModifiedBy>횡롄팠</cp:lastModifiedBy>
  <dcterms:created xsi:type="dcterms:W3CDTF">2026-05-28T10:42:26Z</dcterms:created>
  <dcterms:modified xsi:type="dcterms:W3CDTF">2026-05-29T14:34:14Z</dcterms:modified>
</cp:coreProperties>
</file>